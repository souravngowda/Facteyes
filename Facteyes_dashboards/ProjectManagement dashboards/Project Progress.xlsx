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micrologicindia-my.sharepoint.com/personal/sourav_micrologicglobal_com/Documents/pm/"/>
    </mc:Choice>
  </mc:AlternateContent>
  <xr:revisionPtr revIDLastSave="5715" documentId="8_{E58831ED-DD37-42FC-BECC-751C81E40D03}" xr6:coauthVersionLast="47" xr6:coauthVersionMax="47" xr10:uidLastSave="{6BBDD9C0-270A-4B4E-803F-68EE42D42FA9}"/>
  <bookViews>
    <workbookView xWindow="-120" yWindow="-120" windowWidth="29040" windowHeight="15720" tabRatio="626" firstSheet="2" activeTab="2" xr2:uid="{00000000-000D-0000-FFFF-FFFF00000000}"/>
  </bookViews>
  <sheets>
    <sheet name="All projects" sheetId="10" r:id="rId1"/>
    <sheet name="Projects" sheetId="18" r:id="rId2"/>
    <sheet name="Projects1" sheetId="17" r:id="rId3"/>
    <sheet name="CustomerFeedback" sheetId="21" r:id="rId4"/>
    <sheet name="Activity Status" sheetId="19" r:id="rId5"/>
    <sheet name="Versioncontrol" sheetId="22" r:id="rId6"/>
  </sheets>
  <definedNames>
    <definedName name="_xlnm._FilterDatabase" localSheetId="0" hidden="1">'All projects'!$A$125:$M$125</definedName>
    <definedName name="_xlnm._FilterDatabase" localSheetId="2" hidden="1">Projects1!$A$1:$G$1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54" i="19" l="1"/>
  <c r="A1155" i="19"/>
  <c r="A1156" i="19"/>
  <c r="A1151" i="19"/>
  <c r="A1152" i="19"/>
  <c r="A1153" i="19"/>
  <c r="A1148" i="19"/>
  <c r="A1149" i="19"/>
  <c r="A1150" i="19"/>
  <c r="A1145" i="19"/>
  <c r="A1146" i="19"/>
  <c r="A1147" i="19"/>
  <c r="A1142" i="19"/>
  <c r="A1143" i="19"/>
  <c r="A1144" i="19"/>
  <c r="A1139" i="19"/>
  <c r="A1140" i="19"/>
  <c r="A1141" i="19"/>
  <c r="A1136" i="19"/>
  <c r="A1137" i="19"/>
  <c r="A1138" i="19"/>
  <c r="A1133" i="19"/>
  <c r="A1134" i="19"/>
  <c r="A1135" i="19"/>
  <c r="A1130" i="19"/>
  <c r="A1131" i="19"/>
  <c r="A1132" i="19"/>
  <c r="A1127" i="19"/>
  <c r="A1128" i="19"/>
  <c r="A1129" i="19"/>
  <c r="A1124" i="19"/>
  <c r="A1125" i="19"/>
  <c r="A1126" i="19"/>
  <c r="A1121" i="19"/>
  <c r="A1122" i="19"/>
  <c r="A1123" i="19"/>
  <c r="A1118" i="19"/>
  <c r="A1119" i="19"/>
  <c r="A1120" i="19"/>
  <c r="A1115" i="19"/>
  <c r="A1116" i="19"/>
  <c r="A1117" i="19"/>
  <c r="A1112" i="19"/>
  <c r="A1113" i="19"/>
  <c r="A1114" i="19"/>
  <c r="A1109" i="19"/>
  <c r="A1110" i="19"/>
  <c r="A1111" i="19"/>
  <c r="A1106" i="19"/>
  <c r="A1107" i="19"/>
  <c r="A1108" i="19"/>
  <c r="A1103" i="19"/>
  <c r="A1104" i="19"/>
  <c r="A1105" i="19"/>
  <c r="A1100" i="19"/>
  <c r="A1101" i="19"/>
  <c r="A1102" i="19"/>
  <c r="A1097" i="19"/>
  <c r="A1098" i="19"/>
  <c r="A1099" i="19"/>
  <c r="A1094" i="19"/>
  <c r="A1095" i="19"/>
  <c r="A1096" i="19"/>
  <c r="A1091" i="19"/>
  <c r="A1092" i="19"/>
  <c r="A1093" i="19"/>
  <c r="A1088" i="19"/>
  <c r="A1089" i="19"/>
  <c r="A1090" i="19"/>
  <c r="A1085" i="19"/>
  <c r="A1086" i="19"/>
  <c r="A1087" i="19"/>
  <c r="A1082" i="19"/>
  <c r="A1083" i="19"/>
  <c r="A1084" i="19"/>
  <c r="A1079" i="19"/>
  <c r="A1080" i="19"/>
  <c r="A1081" i="19"/>
  <c r="A1076" i="19"/>
  <c r="A1077" i="19"/>
  <c r="A1078" i="19"/>
  <c r="A1073" i="19"/>
  <c r="A1074" i="19"/>
  <c r="A1075" i="19"/>
  <c r="A1070" i="19"/>
  <c r="A1071" i="19"/>
  <c r="A1072" i="19"/>
  <c r="A1067" i="19"/>
  <c r="A1068" i="19"/>
  <c r="A1069" i="19"/>
  <c r="A1064" i="19"/>
  <c r="A1065" i="19"/>
  <c r="A1066" i="19"/>
  <c r="A1061" i="19"/>
  <c r="A1062" i="19"/>
  <c r="A1063" i="19"/>
  <c r="A1058" i="19"/>
  <c r="A1059" i="19"/>
  <c r="A1060" i="19"/>
  <c r="A1055" i="19"/>
  <c r="A1056" i="19"/>
  <c r="A1057" i="19"/>
  <c r="A1052" i="19"/>
  <c r="A1053" i="19"/>
  <c r="A1054" i="19"/>
  <c r="A1049" i="19"/>
  <c r="A1050" i="19"/>
  <c r="A1051" i="19"/>
  <c r="A1046" i="19"/>
  <c r="A1047" i="19"/>
  <c r="A1048" i="19"/>
  <c r="A1043" i="19"/>
  <c r="A1044" i="19"/>
  <c r="A1045" i="19"/>
  <c r="A1040" i="19"/>
  <c r="A1041" i="19"/>
  <c r="A1042" i="19"/>
  <c r="A1037" i="19"/>
  <c r="A1038" i="19"/>
  <c r="A1039" i="19"/>
  <c r="A1034" i="19"/>
  <c r="A1035" i="19"/>
  <c r="A1036" i="19"/>
  <c r="A1031" i="19"/>
  <c r="A1032" i="19"/>
  <c r="A1033" i="19"/>
  <c r="A1028" i="19"/>
  <c r="A1029" i="19"/>
  <c r="A1030" i="19"/>
  <c r="A1025" i="19"/>
  <c r="A1026" i="19"/>
  <c r="A1027" i="19"/>
  <c r="A1022" i="19"/>
  <c r="A1023" i="19"/>
  <c r="A1024" i="19"/>
  <c r="A1019" i="19"/>
  <c r="A1020" i="19"/>
  <c r="A1021" i="19"/>
  <c r="A1016" i="19"/>
  <c r="A1017" i="19"/>
  <c r="A1018" i="19"/>
  <c r="A1013" i="19"/>
  <c r="A1014" i="19"/>
  <c r="A1015" i="19"/>
  <c r="A1010" i="19"/>
  <c r="A1011" i="19"/>
  <c r="A1012" i="19"/>
  <c r="A1007" i="19"/>
  <c r="A1008" i="19"/>
  <c r="A1009" i="19"/>
  <c r="A1004" i="19"/>
  <c r="A1005" i="19"/>
  <c r="A1006" i="19"/>
  <c r="A1001" i="19"/>
  <c r="A1002" i="19"/>
  <c r="A1003" i="19"/>
  <c r="A998" i="19"/>
  <c r="A999" i="19"/>
  <c r="A1000" i="19"/>
  <c r="A995" i="19"/>
  <c r="A996" i="19"/>
  <c r="A997" i="19"/>
  <c r="A992" i="19"/>
  <c r="A993" i="19"/>
  <c r="A994" i="19"/>
  <c r="A989" i="19"/>
  <c r="A990" i="19"/>
  <c r="A991" i="19"/>
  <c r="A986" i="19"/>
  <c r="A987" i="19"/>
  <c r="A988" i="19"/>
  <c r="A983" i="19"/>
  <c r="A984" i="19"/>
  <c r="A985" i="19"/>
  <c r="A980" i="19"/>
  <c r="A981" i="19"/>
  <c r="A982" i="19"/>
  <c r="A977" i="19"/>
  <c r="A978" i="19"/>
  <c r="A979" i="19"/>
  <c r="A974" i="19"/>
  <c r="A975" i="19"/>
  <c r="A976" i="19"/>
  <c r="A971" i="19"/>
  <c r="A972" i="19"/>
  <c r="A973" i="19"/>
  <c r="A968" i="19"/>
  <c r="A969" i="19"/>
  <c r="A970" i="19"/>
  <c r="A965" i="19"/>
  <c r="A966" i="19"/>
  <c r="A967" i="19"/>
  <c r="A962" i="19"/>
  <c r="A963" i="19"/>
  <c r="A964" i="19"/>
  <c r="A959" i="19"/>
  <c r="A960" i="19"/>
  <c r="A961" i="19"/>
  <c r="A956" i="19"/>
  <c r="A957" i="19"/>
  <c r="A958" i="19"/>
  <c r="A953" i="19"/>
  <c r="A954" i="19"/>
  <c r="A955" i="19"/>
  <c r="A950" i="19"/>
  <c r="A951" i="19"/>
  <c r="A952" i="19"/>
  <c r="A947" i="19"/>
  <c r="A948" i="19"/>
  <c r="A949" i="19"/>
  <c r="A944" i="19"/>
  <c r="A945" i="19"/>
  <c r="A946" i="19"/>
  <c r="A941" i="19"/>
  <c r="A942" i="19"/>
  <c r="A943" i="19"/>
  <c r="A938" i="19"/>
  <c r="A939" i="19"/>
  <c r="A940" i="19"/>
  <c r="A935" i="19"/>
  <c r="A936" i="19"/>
  <c r="A937" i="19"/>
  <c r="A932" i="19"/>
  <c r="A933" i="19"/>
  <c r="A934" i="19"/>
  <c r="A929" i="19"/>
  <c r="A930" i="19"/>
  <c r="A931" i="19"/>
  <c r="A926" i="19"/>
  <c r="A927" i="19"/>
  <c r="A928" i="19"/>
  <c r="A923" i="19"/>
  <c r="A924" i="19"/>
  <c r="A925" i="19"/>
  <c r="A920" i="19"/>
  <c r="A921" i="19"/>
  <c r="A922" i="19"/>
  <c r="A917" i="19"/>
  <c r="A918" i="19"/>
  <c r="A919" i="19"/>
  <c r="A914" i="19"/>
  <c r="A915" i="19"/>
  <c r="A916" i="19"/>
  <c r="A911" i="19"/>
  <c r="A912" i="19"/>
  <c r="A913" i="19"/>
  <c r="A908" i="19"/>
  <c r="A909" i="19"/>
  <c r="A910" i="19"/>
  <c r="A905" i="19"/>
  <c r="A906" i="19"/>
  <c r="A907" i="19"/>
  <c r="A902" i="19"/>
  <c r="A903" i="19"/>
  <c r="A904" i="19"/>
  <c r="A899" i="19"/>
  <c r="A900" i="19"/>
  <c r="A901" i="19"/>
  <c r="A896" i="19"/>
  <c r="A897" i="19"/>
  <c r="A898" i="19"/>
  <c r="A893" i="19"/>
  <c r="A894" i="19"/>
  <c r="A895" i="19"/>
  <c r="A890" i="19"/>
  <c r="A891" i="19"/>
  <c r="A892" i="19"/>
  <c r="A887" i="19"/>
  <c r="A888" i="19"/>
  <c r="A889" i="19"/>
  <c r="A884" i="19"/>
  <c r="A885" i="19"/>
  <c r="A886" i="19"/>
  <c r="A881" i="19"/>
  <c r="A882" i="19"/>
  <c r="A883" i="19"/>
  <c r="A878" i="19"/>
  <c r="A879" i="19"/>
  <c r="A880" i="19"/>
  <c r="A875" i="19"/>
  <c r="A876" i="19"/>
  <c r="A877" i="19"/>
  <c r="A872" i="19"/>
  <c r="A873" i="19"/>
  <c r="A874" i="19"/>
  <c r="A869" i="19"/>
  <c r="A870" i="19"/>
  <c r="A871" i="19"/>
  <c r="A866" i="19"/>
  <c r="A867" i="19"/>
  <c r="A868" i="19"/>
  <c r="A863" i="19"/>
  <c r="A864" i="19"/>
  <c r="A865" i="19"/>
  <c r="A860" i="19"/>
  <c r="A861" i="19"/>
  <c r="A862" i="19"/>
  <c r="A857" i="19"/>
  <c r="A858" i="19"/>
  <c r="A859" i="19"/>
  <c r="A854" i="19"/>
  <c r="A855" i="19"/>
  <c r="A856" i="19"/>
  <c r="A851" i="19"/>
  <c r="A852" i="19"/>
  <c r="A853" i="19"/>
  <c r="A848" i="19"/>
  <c r="A849" i="19"/>
  <c r="A850" i="19"/>
  <c r="A845" i="19"/>
  <c r="A846" i="19"/>
  <c r="A847" i="19"/>
  <c r="A842" i="19"/>
  <c r="A843" i="19"/>
  <c r="A844" i="19"/>
  <c r="A839" i="19"/>
  <c r="A840" i="19"/>
  <c r="A841" i="19"/>
  <c r="A836" i="19"/>
  <c r="A837" i="19"/>
  <c r="A838" i="19"/>
  <c r="A833" i="19"/>
  <c r="A834" i="19"/>
  <c r="A835" i="19"/>
  <c r="A830" i="19"/>
  <c r="A831" i="19"/>
  <c r="A832" i="19"/>
  <c r="A827" i="19"/>
  <c r="A828" i="19"/>
  <c r="A829" i="19"/>
  <c r="A824" i="19"/>
  <c r="A825" i="19"/>
  <c r="A826" i="19"/>
  <c r="A821" i="19"/>
  <c r="A822" i="19"/>
  <c r="A823" i="19"/>
  <c r="A818" i="19"/>
  <c r="A819" i="19"/>
  <c r="A820" i="19"/>
  <c r="A815" i="19"/>
  <c r="A816" i="19"/>
  <c r="A817" i="19"/>
  <c r="A813" i="19"/>
  <c r="A814" i="19"/>
  <c r="A812" i="19"/>
  <c r="A809" i="19"/>
  <c r="A810" i="19"/>
  <c r="A811" i="19"/>
  <c r="A806" i="19"/>
  <c r="A807" i="19"/>
  <c r="A808" i="19"/>
  <c r="A803" i="19"/>
  <c r="A804" i="19"/>
  <c r="A805" i="19"/>
  <c r="A800" i="19"/>
  <c r="A801" i="19"/>
  <c r="A802" i="19"/>
  <c r="A797" i="19"/>
  <c r="A798" i="19"/>
  <c r="A799" i="19"/>
  <c r="A794" i="19"/>
  <c r="A795" i="19"/>
  <c r="A796" i="19"/>
  <c r="A791" i="19"/>
  <c r="A792" i="19"/>
  <c r="A793" i="19"/>
  <c r="A788" i="19"/>
  <c r="A789" i="19"/>
  <c r="A790" i="19"/>
  <c r="A785" i="19"/>
  <c r="A786" i="19"/>
  <c r="A787" i="19"/>
  <c r="A782" i="19"/>
  <c r="A783" i="19"/>
  <c r="A784" i="19"/>
  <c r="A779" i="19"/>
  <c r="A780" i="19"/>
  <c r="A781" i="19"/>
  <c r="O277" i="10"/>
  <c r="A776" i="19"/>
  <c r="A777" i="19"/>
  <c r="A778" i="19"/>
  <c r="A773" i="19"/>
  <c r="A774" i="19"/>
  <c r="A775" i="19"/>
  <c r="A770" i="19"/>
  <c r="A771" i="19"/>
  <c r="A772" i="19"/>
  <c r="A767" i="19"/>
  <c r="A768" i="19"/>
  <c r="A769" i="19"/>
  <c r="A764" i="19"/>
  <c r="A765" i="19"/>
  <c r="A766" i="19"/>
  <c r="O276" i="10"/>
  <c r="O275" i="10"/>
  <c r="O271" i="10"/>
  <c r="O272" i="10"/>
  <c r="O273" i="10"/>
  <c r="O274" i="10"/>
  <c r="O270" i="10"/>
  <c r="O268" i="10"/>
  <c r="O269" i="10"/>
  <c r="O267" i="10"/>
  <c r="O266" i="10"/>
  <c r="O265" i="10"/>
  <c r="O264" i="10"/>
  <c r="O263" i="10"/>
  <c r="O262" i="10"/>
  <c r="O261" i="10"/>
  <c r="O260" i="10"/>
  <c r="A761" i="19"/>
  <c r="A762" i="19"/>
  <c r="A763" i="19"/>
  <c r="A758" i="19"/>
  <c r="A759" i="19"/>
  <c r="A760" i="19"/>
  <c r="A755" i="19"/>
  <c r="A756" i="19"/>
  <c r="A757" i="19"/>
  <c r="A752" i="19"/>
  <c r="A753" i="19"/>
  <c r="A754" i="19"/>
  <c r="A749" i="19"/>
  <c r="A750" i="19"/>
  <c r="A751" i="19"/>
  <c r="A746" i="19"/>
  <c r="A747" i="19"/>
  <c r="A748" i="19"/>
  <c r="A743" i="19"/>
  <c r="A744" i="19"/>
  <c r="A745" i="19"/>
  <c r="A740" i="19"/>
  <c r="A741" i="19"/>
  <c r="A742" i="19"/>
  <c r="A737" i="19"/>
  <c r="A738" i="19"/>
  <c r="A739" i="19"/>
  <c r="A734" i="19"/>
  <c r="A735" i="19"/>
  <c r="A736" i="19"/>
  <c r="A731" i="19"/>
  <c r="A732" i="19"/>
  <c r="A733" i="19"/>
  <c r="A728" i="19"/>
  <c r="A729" i="19"/>
  <c r="A730" i="19"/>
  <c r="A725" i="19"/>
  <c r="A726" i="19"/>
  <c r="A727" i="19"/>
  <c r="A722" i="19"/>
  <c r="A723" i="19"/>
  <c r="A724" i="19"/>
  <c r="A719" i="19"/>
  <c r="A720" i="19"/>
  <c r="A721" i="19"/>
  <c r="A716" i="19"/>
  <c r="A717" i="19"/>
  <c r="A718" i="19"/>
  <c r="A713" i="19"/>
  <c r="A714" i="19"/>
  <c r="A715" i="19"/>
  <c r="A710" i="19"/>
  <c r="A711" i="19"/>
  <c r="A712" i="19"/>
  <c r="A707" i="19"/>
  <c r="A708" i="19"/>
  <c r="A709" i="19"/>
  <c r="A704" i="19"/>
  <c r="A705" i="19"/>
  <c r="A706" i="19"/>
  <c r="A701" i="19"/>
  <c r="A702" i="19"/>
  <c r="A703" i="19"/>
  <c r="A698" i="19"/>
  <c r="A699" i="19"/>
  <c r="A700" i="19"/>
  <c r="A695" i="19"/>
  <c r="A696" i="19"/>
  <c r="A697" i="19"/>
  <c r="A692" i="19"/>
  <c r="A693" i="19"/>
  <c r="A694" i="19"/>
  <c r="A689" i="19"/>
  <c r="A690" i="19"/>
  <c r="A691" i="19"/>
  <c r="O259" i="10"/>
  <c r="A686" i="19"/>
  <c r="A687" i="19"/>
  <c r="A688" i="19"/>
  <c r="A683" i="19"/>
  <c r="A684" i="19"/>
  <c r="A685" i="19"/>
  <c r="A680" i="19"/>
  <c r="A681" i="19"/>
  <c r="A682" i="19"/>
  <c r="A677" i="19"/>
  <c r="A678" i="19"/>
  <c r="A679" i="19"/>
  <c r="A674" i="19"/>
  <c r="A675" i="19"/>
  <c r="A676" i="19"/>
  <c r="A671" i="19"/>
  <c r="A672" i="19"/>
  <c r="A673" i="19"/>
  <c r="A668" i="19"/>
  <c r="A669" i="19"/>
  <c r="A670" i="19"/>
  <c r="A665" i="19"/>
  <c r="A666" i="19"/>
  <c r="A667" i="19"/>
  <c r="A662" i="19"/>
  <c r="A663" i="19"/>
  <c r="A664" i="19"/>
  <c r="A659" i="19"/>
  <c r="A660" i="19"/>
  <c r="A661" i="19"/>
  <c r="A656" i="19"/>
  <c r="A657" i="19"/>
  <c r="A658" i="19"/>
  <c r="A653" i="19"/>
  <c r="A654" i="19"/>
  <c r="A655" i="19"/>
  <c r="A650" i="19"/>
  <c r="A651" i="19"/>
  <c r="A652" i="19"/>
  <c r="A647" i="19"/>
  <c r="A648" i="19"/>
  <c r="A649" i="19"/>
  <c r="A644" i="19"/>
  <c r="A645" i="19"/>
  <c r="A646" i="19"/>
  <c r="A641" i="19"/>
  <c r="A642" i="19"/>
  <c r="A643" i="19"/>
  <c r="A638" i="19"/>
  <c r="A639" i="19"/>
  <c r="A640" i="19"/>
  <c r="O258" i="10"/>
  <c r="O257" i="10"/>
  <c r="O256" i="10"/>
  <c r="O255" i="10"/>
  <c r="O252" i="10"/>
  <c r="O253" i="10"/>
  <c r="O254" i="10"/>
  <c r="O251" i="10"/>
  <c r="O250" i="10"/>
  <c r="O249" i="10"/>
  <c r="A635" i="19"/>
  <c r="A636" i="19"/>
  <c r="A637" i="19"/>
  <c r="A632" i="19"/>
  <c r="A633" i="19"/>
  <c r="A634" i="19"/>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A629" i="19"/>
  <c r="A630" i="19"/>
  <c r="A631" i="19"/>
  <c r="A626" i="19"/>
  <c r="A627" i="19"/>
  <c r="A628" i="19"/>
  <c r="A623" i="19"/>
  <c r="A624" i="19"/>
  <c r="A625" i="19"/>
  <c r="A620" i="19"/>
  <c r="A621" i="19"/>
  <c r="A622" i="19"/>
  <c r="O216" i="10"/>
  <c r="O215" i="10"/>
  <c r="A617" i="19"/>
  <c r="A618" i="19"/>
  <c r="A619" i="19"/>
  <c r="A614" i="19"/>
  <c r="A615" i="19"/>
  <c r="A616" i="19"/>
  <c r="A611" i="19"/>
  <c r="A612" i="19"/>
  <c r="A613" i="19"/>
  <c r="A608" i="19"/>
  <c r="A609" i="19"/>
  <c r="A610" i="19"/>
  <c r="A605" i="19"/>
  <c r="A606" i="19"/>
  <c r="A607" i="19"/>
  <c r="A602" i="19"/>
  <c r="A603" i="19"/>
  <c r="A604" i="19"/>
  <c r="A599" i="19"/>
  <c r="A600" i="19"/>
  <c r="A601" i="19"/>
  <c r="A596" i="19"/>
  <c r="A597" i="19"/>
  <c r="A598" i="19"/>
  <c r="A593" i="19"/>
  <c r="A594" i="19"/>
  <c r="A595" i="19"/>
  <c r="A590" i="19"/>
  <c r="A591" i="19"/>
  <c r="A592" i="19"/>
  <c r="A587" i="19"/>
  <c r="A588" i="19"/>
  <c r="A589" i="19"/>
  <c r="A584" i="19"/>
  <c r="A585" i="19"/>
  <c r="A586" i="19"/>
  <c r="A581" i="19"/>
  <c r="A582" i="19"/>
  <c r="A583" i="19"/>
  <c r="A578" i="19"/>
  <c r="A579" i="19"/>
  <c r="A580" i="19"/>
  <c r="A575" i="19"/>
  <c r="A576" i="19"/>
  <c r="A577" i="19"/>
  <c r="A572" i="19"/>
  <c r="A573" i="19"/>
  <c r="A574" i="19"/>
  <c r="A569" i="19"/>
  <c r="A570" i="19"/>
  <c r="A571" i="19"/>
  <c r="A568" i="19"/>
  <c r="A566" i="19"/>
  <c r="A567" i="19"/>
  <c r="A563" i="19"/>
  <c r="A564" i="19"/>
  <c r="A565" i="19"/>
  <c r="A560" i="19"/>
  <c r="A561" i="19"/>
  <c r="A562" i="19"/>
  <c r="A557" i="19"/>
  <c r="A558" i="19"/>
  <c r="A559" i="19"/>
  <c r="A554" i="19"/>
  <c r="A555" i="19"/>
  <c r="A556" i="19"/>
  <c r="A551" i="19"/>
  <c r="A552" i="19"/>
  <c r="A553" i="19"/>
  <c r="A548" i="19"/>
  <c r="A549" i="19"/>
  <c r="A550" i="19"/>
  <c r="A545" i="19"/>
  <c r="A546" i="19"/>
  <c r="A547" i="19"/>
  <c r="A542" i="19"/>
  <c r="A543" i="19"/>
  <c r="A544" i="19"/>
  <c r="A539" i="19"/>
  <c r="A540" i="19"/>
  <c r="A541" i="19"/>
  <c r="A536" i="19"/>
  <c r="A537" i="19"/>
  <c r="A538" i="19"/>
  <c r="A533" i="19"/>
  <c r="A534" i="19"/>
  <c r="A535" i="19"/>
  <c r="A530" i="19"/>
  <c r="A531" i="19"/>
  <c r="A532" i="19"/>
  <c r="A527" i="19"/>
  <c r="A528" i="19"/>
  <c r="A529" i="19"/>
  <c r="A524" i="19"/>
  <c r="A525" i="19"/>
  <c r="A526" i="19"/>
  <c r="A521" i="19"/>
  <c r="A522" i="19"/>
  <c r="A523" i="19"/>
  <c r="A518" i="19"/>
  <c r="A519" i="19"/>
  <c r="A520" i="19"/>
  <c r="A515" i="19"/>
  <c r="A516" i="19"/>
  <c r="A517" i="19"/>
  <c r="A512" i="19"/>
  <c r="A513" i="19"/>
  <c r="A514" i="19"/>
  <c r="A509" i="19"/>
  <c r="A510" i="19"/>
  <c r="A511" i="19"/>
  <c r="A506" i="19"/>
  <c r="A507" i="19"/>
  <c r="A508" i="19"/>
  <c r="A503" i="19"/>
  <c r="A504" i="19"/>
  <c r="A505" i="19"/>
  <c r="A500" i="19"/>
  <c r="A501" i="19"/>
  <c r="A502" i="19"/>
  <c r="O32" i="10"/>
  <c r="O30" i="10"/>
  <c r="O27" i="10"/>
  <c r="O24" i="10"/>
  <c r="O35" i="10"/>
  <c r="A497" i="19"/>
  <c r="A498" i="19"/>
  <c r="A499" i="19"/>
  <c r="A494" i="19"/>
  <c r="A495" i="19"/>
  <c r="A496" i="19"/>
  <c r="A491" i="19"/>
  <c r="A492" i="19"/>
  <c r="A493" i="19"/>
  <c r="A488" i="19"/>
  <c r="A489" i="19"/>
  <c r="A490" i="19"/>
  <c r="A485" i="19"/>
  <c r="A486" i="19"/>
  <c r="A487" i="19"/>
  <c r="O214" i="10"/>
  <c r="A482" i="19"/>
  <c r="A483" i="19"/>
  <c r="A484" i="19"/>
  <c r="A479" i="19"/>
  <c r="A480" i="19"/>
  <c r="A481" i="19"/>
  <c r="A476" i="19"/>
  <c r="A477" i="19"/>
  <c r="A478" i="19"/>
  <c r="A473" i="19"/>
  <c r="A474" i="19"/>
  <c r="A475" i="19"/>
  <c r="A470" i="19"/>
  <c r="A471" i="19"/>
  <c r="A472" i="19"/>
  <c r="A467" i="19"/>
  <c r="A468" i="19"/>
  <c r="A469" i="19"/>
  <c r="A464" i="19"/>
  <c r="A465" i="19"/>
  <c r="A466" i="19"/>
  <c r="O179" i="10"/>
  <c r="O213" i="10"/>
  <c r="O212" i="10"/>
  <c r="O211" i="10"/>
  <c r="O210" i="10"/>
  <c r="O209" i="10"/>
  <c r="O208" i="10"/>
  <c r="A461" i="19"/>
  <c r="A462" i="19"/>
  <c r="A463" i="19"/>
  <c r="A458" i="19"/>
  <c r="A459" i="19"/>
  <c r="A460" i="19"/>
  <c r="A455" i="19"/>
  <c r="A456" i="19"/>
  <c r="A457" i="19"/>
  <c r="A452" i="19"/>
  <c r="A453" i="19"/>
  <c r="A454" i="19"/>
  <c r="A449" i="19"/>
  <c r="A450" i="19"/>
  <c r="A451" i="19"/>
  <c r="A446" i="19"/>
  <c r="A447" i="19"/>
  <c r="A448" i="19"/>
  <c r="A443" i="19"/>
  <c r="A444" i="19"/>
  <c r="A445" i="19"/>
  <c r="A440" i="19"/>
  <c r="A441" i="19"/>
  <c r="A442" i="19"/>
  <c r="A437" i="19"/>
  <c r="A438" i="19"/>
  <c r="A439" i="19"/>
  <c r="A434" i="19"/>
  <c r="A435" i="19"/>
  <c r="A436" i="19"/>
  <c r="A431" i="19"/>
  <c r="A432" i="19"/>
  <c r="A433" i="19"/>
  <c r="O207" i="10"/>
  <c r="O206" i="10"/>
  <c r="O205" i="10"/>
  <c r="O204" i="10"/>
  <c r="O203" i="10"/>
  <c r="A428" i="19"/>
  <c r="A429" i="19"/>
  <c r="A430" i="19"/>
  <c r="A425" i="19"/>
  <c r="A426" i="19"/>
  <c r="A427" i="19"/>
  <c r="A422" i="19"/>
  <c r="A423" i="19"/>
  <c r="A424" i="19"/>
  <c r="O17" i="10"/>
  <c r="O202" i="10"/>
  <c r="O201" i="10"/>
  <c r="A419" i="19"/>
  <c r="A420" i="19"/>
  <c r="A421" i="19"/>
  <c r="A416" i="19"/>
  <c r="A417" i="19"/>
  <c r="A418" i="19"/>
  <c r="A413" i="19"/>
  <c r="A414" i="19"/>
  <c r="A415" i="19"/>
  <c r="A410" i="19"/>
  <c r="A411" i="19"/>
  <c r="A412" i="19"/>
  <c r="A407" i="19"/>
  <c r="A408" i="19"/>
  <c r="A409" i="19"/>
  <c r="A404" i="19"/>
  <c r="A405" i="19"/>
  <c r="A406" i="19"/>
  <c r="A401" i="19"/>
  <c r="A402" i="19"/>
  <c r="A403" i="19"/>
  <c r="A398" i="19"/>
  <c r="A399" i="19"/>
  <c r="A400" i="19"/>
  <c r="A395" i="19"/>
  <c r="A396" i="19"/>
  <c r="A397" i="19"/>
  <c r="A392" i="19"/>
  <c r="A393" i="19"/>
  <c r="A394" i="19"/>
  <c r="A389" i="19"/>
  <c r="A390" i="19"/>
  <c r="A391" i="19"/>
  <c r="A386" i="19"/>
  <c r="A387" i="19"/>
  <c r="A388" i="19"/>
  <c r="O200" i="10"/>
  <c r="O199" i="10"/>
  <c r="O198" i="10"/>
  <c r="A383" i="19"/>
  <c r="A384" i="19"/>
  <c r="A385" i="19"/>
  <c r="A380" i="19"/>
  <c r="A381" i="19"/>
  <c r="A382" i="19"/>
  <c r="A377" i="19"/>
  <c r="A378" i="19"/>
  <c r="A379" i="19"/>
  <c r="A374" i="19"/>
  <c r="A375" i="19"/>
  <c r="A376" i="19"/>
  <c r="A371" i="19"/>
  <c r="A372" i="19"/>
  <c r="A373" i="19"/>
  <c r="A368" i="19"/>
  <c r="A369" i="19"/>
  <c r="A370" i="19"/>
  <c r="A365" i="19"/>
  <c r="A366" i="19"/>
  <c r="A367" i="19"/>
  <c r="A362" i="19"/>
  <c r="A363" i="19"/>
  <c r="A364" i="19"/>
  <c r="A359" i="19"/>
  <c r="A360" i="19"/>
  <c r="A361" i="19"/>
  <c r="A356" i="19"/>
  <c r="A357" i="19"/>
  <c r="A358" i="19"/>
  <c r="O197" i="10"/>
  <c r="A353" i="19"/>
  <c r="A354" i="19"/>
  <c r="A355" i="19"/>
  <c r="A350" i="19"/>
  <c r="A351" i="19"/>
  <c r="A352" i="19"/>
  <c r="A347" i="19"/>
  <c r="A348" i="19"/>
  <c r="A349" i="19"/>
  <c r="O196" i="10"/>
  <c r="O194" i="10"/>
  <c r="O195" i="10"/>
  <c r="O192" i="10"/>
  <c r="O193" i="10"/>
  <c r="O191" i="10"/>
  <c r="A344" i="19"/>
  <c r="A345" i="19"/>
  <c r="A346" i="19"/>
  <c r="A341" i="19"/>
  <c r="A342" i="19"/>
  <c r="A343" i="19"/>
  <c r="A338" i="19"/>
  <c r="A339" i="19"/>
  <c r="A340" i="19"/>
  <c r="A335" i="19"/>
  <c r="A336" i="19"/>
  <c r="A337" i="19"/>
  <c r="A332" i="19"/>
  <c r="A333" i="19"/>
  <c r="A334" i="19"/>
  <c r="A329" i="19"/>
  <c r="A330" i="19"/>
  <c r="A331" i="19"/>
  <c r="A326" i="19"/>
  <c r="A327" i="19"/>
  <c r="A328" i="19"/>
  <c r="A323" i="19"/>
  <c r="A324" i="19"/>
  <c r="A325" i="19"/>
  <c r="O190" i="10"/>
  <c r="O189" i="10"/>
  <c r="O188" i="10"/>
  <c r="O187" i="10"/>
  <c r="O186" i="10"/>
  <c r="A320" i="19"/>
  <c r="A321" i="19"/>
  <c r="A322" i="19"/>
  <c r="A317" i="19"/>
  <c r="A318" i="19"/>
  <c r="A319" i="19"/>
  <c r="A314" i="19"/>
  <c r="A315" i="19"/>
  <c r="A316" i="19"/>
  <c r="A311" i="19"/>
  <c r="A312" i="19"/>
  <c r="A313" i="19"/>
  <c r="A308" i="19"/>
  <c r="A309" i="19"/>
  <c r="A310" i="19"/>
  <c r="A305" i="19"/>
  <c r="A306" i="19"/>
  <c r="A307" i="19"/>
  <c r="A302" i="19"/>
  <c r="A303" i="19"/>
  <c r="A304" i="19"/>
  <c r="O185" i="10"/>
  <c r="O184" i="10"/>
  <c r="A301" i="19"/>
  <c r="A299" i="19"/>
  <c r="A300" i="19"/>
  <c r="A296" i="19"/>
  <c r="A297" i="19"/>
  <c r="A298" i="19"/>
  <c r="A293" i="19"/>
  <c r="A294" i="19"/>
  <c r="A295" i="19"/>
  <c r="A290" i="19"/>
  <c r="A291" i="19"/>
  <c r="A292" i="19"/>
  <c r="A287" i="19"/>
  <c r="A288" i="19"/>
  <c r="A289" i="19"/>
  <c r="A284" i="19"/>
  <c r="A285" i="19"/>
  <c r="A286" i="19"/>
  <c r="A281" i="19"/>
  <c r="A282" i="19"/>
  <c r="A283" i="19"/>
  <c r="O182" i="10"/>
  <c r="O183" i="10"/>
  <c r="O181" i="10"/>
  <c r="O180" i="10"/>
  <c r="O176" i="10"/>
  <c r="O177" i="10"/>
  <c r="O178" i="10"/>
  <c r="O175" i="10"/>
  <c r="A278" i="19"/>
  <c r="A279" i="19"/>
  <c r="A280" i="19"/>
  <c r="A275" i="19"/>
  <c r="A276" i="19"/>
  <c r="A277" i="19"/>
  <c r="A272" i="19"/>
  <c r="A273" i="19"/>
  <c r="A274" i="19"/>
  <c r="A269" i="19"/>
  <c r="A270" i="19"/>
  <c r="A271" i="19"/>
  <c r="A266" i="19"/>
  <c r="A267" i="19"/>
  <c r="A268" i="19"/>
  <c r="A263" i="19"/>
  <c r="A264" i="19"/>
  <c r="A265" i="19"/>
  <c r="A260" i="19"/>
  <c r="A261" i="19"/>
  <c r="A262" i="19"/>
  <c r="A257" i="19"/>
  <c r="A258" i="19"/>
  <c r="A259" i="19"/>
  <c r="A254" i="19"/>
  <c r="A255" i="19"/>
  <c r="A256" i="19"/>
  <c r="A251" i="19"/>
  <c r="A252" i="19"/>
  <c r="A253" i="19"/>
  <c r="O174" i="10"/>
  <c r="A248" i="19"/>
  <c r="A249" i="19"/>
  <c r="A250" i="19"/>
  <c r="A245" i="19"/>
  <c r="A246" i="19"/>
  <c r="A247" i="19"/>
  <c r="A242" i="19"/>
  <c r="A243" i="19"/>
  <c r="A244" i="19"/>
  <c r="O105" i="10"/>
  <c r="A239" i="19"/>
  <c r="A240" i="19"/>
  <c r="A241" i="19"/>
  <c r="A236" i="19"/>
  <c r="A237" i="19"/>
  <c r="A238" i="19"/>
  <c r="A233" i="19"/>
  <c r="A234" i="19"/>
  <c r="A235" i="19"/>
  <c r="A230" i="19"/>
  <c r="A231" i="19"/>
  <c r="A232" i="19"/>
  <c r="A227" i="19"/>
  <c r="A228" i="19"/>
  <c r="A229" i="19"/>
  <c r="A224" i="19"/>
  <c r="A225" i="19"/>
  <c r="A226" i="19"/>
  <c r="A221" i="19"/>
  <c r="A222" i="19"/>
  <c r="A223" i="19"/>
  <c r="A220" i="19"/>
  <c r="A218" i="19"/>
  <c r="A219" i="19"/>
  <c r="A215" i="19"/>
  <c r="A216" i="19"/>
  <c r="A217" i="19"/>
  <c r="O163" i="10"/>
  <c r="O162" i="10"/>
  <c r="O160" i="10"/>
  <c r="O159" i="10"/>
  <c r="O158" i="10"/>
  <c r="A212" i="19"/>
  <c r="A213" i="19"/>
  <c r="A214" i="19"/>
  <c r="A209" i="19"/>
  <c r="A210" i="19"/>
  <c r="A211" i="19"/>
  <c r="A206" i="19"/>
  <c r="A207" i="19"/>
  <c r="A208" i="19"/>
  <c r="A203" i="19"/>
  <c r="A204" i="19"/>
  <c r="A205" i="19"/>
  <c r="A200" i="19"/>
  <c r="A201" i="19"/>
  <c r="A202" i="19"/>
  <c r="A197" i="19"/>
  <c r="A198" i="19"/>
  <c r="A199" i="19"/>
  <c r="O173" i="10"/>
  <c r="A194" i="19"/>
  <c r="A195" i="19"/>
  <c r="A196" i="19"/>
  <c r="A191" i="19"/>
  <c r="A192" i="19"/>
  <c r="A193" i="19"/>
  <c r="A188" i="19"/>
  <c r="A189" i="19"/>
  <c r="A190" i="19"/>
  <c r="A185" i="19"/>
  <c r="A186" i="19"/>
  <c r="A187" i="19"/>
  <c r="A182" i="19"/>
  <c r="A183" i="19"/>
  <c r="A184" i="19"/>
  <c r="A179" i="19"/>
  <c r="A180" i="19"/>
  <c r="A181" i="19"/>
  <c r="A176" i="19"/>
  <c r="A177" i="19"/>
  <c r="A178" i="19"/>
  <c r="A173" i="19"/>
  <c r="A174" i="19"/>
  <c r="A175" i="19"/>
  <c r="A170" i="19"/>
  <c r="A171" i="19"/>
  <c r="A172" i="19"/>
  <c r="A167" i="19"/>
  <c r="A168" i="19"/>
  <c r="A169" i="19"/>
  <c r="O124" i="10"/>
  <c r="O123" i="10"/>
  <c r="A164" i="19"/>
  <c r="A165" i="19"/>
  <c r="A166" i="19"/>
  <c r="O172" i="10"/>
  <c r="A161" i="19"/>
  <c r="A162" i="19"/>
  <c r="A163" i="19"/>
  <c r="A158" i="19"/>
  <c r="A159" i="19"/>
  <c r="A160" i="19"/>
  <c r="O171" i="10"/>
  <c r="A155" i="19"/>
  <c r="A156" i="19"/>
  <c r="A157" i="19"/>
  <c r="A152" i="19"/>
  <c r="A153" i="19"/>
  <c r="A154" i="19"/>
  <c r="O170" i="10"/>
  <c r="A149" i="19"/>
  <c r="A150" i="19"/>
  <c r="A151" i="19"/>
  <c r="A146" i="19"/>
  <c r="A147" i="19"/>
  <c r="A148" i="19"/>
  <c r="O169" i="10"/>
  <c r="A143" i="19"/>
  <c r="A144" i="19"/>
  <c r="A145" i="19"/>
  <c r="A140" i="19"/>
  <c r="A141" i="19"/>
  <c r="A142" i="19"/>
  <c r="O69" i="10"/>
  <c r="A137" i="19"/>
  <c r="A138" i="19"/>
  <c r="A139" i="19"/>
  <c r="A134" i="19"/>
  <c r="A135" i="19"/>
  <c r="A136" i="19"/>
  <c r="A131" i="19"/>
  <c r="A132" i="19"/>
  <c r="A133" i="19"/>
  <c r="O167" i="10"/>
  <c r="O168" i="10"/>
  <c r="O63" i="10"/>
  <c r="O64" i="10"/>
  <c r="O60" i="10"/>
  <c r="O61" i="10"/>
  <c r="O57" i="10"/>
  <c r="O58" i="10"/>
  <c r="O54" i="10"/>
  <c r="O55" i="10"/>
  <c r="O18" i="10"/>
  <c r="O19" i="10"/>
  <c r="A128" i="19"/>
  <c r="A129" i="19"/>
  <c r="A130" i="19"/>
  <c r="O86" i="10"/>
  <c r="A125" i="19"/>
  <c r="A126" i="19"/>
  <c r="A127" i="19"/>
  <c r="A122" i="19"/>
  <c r="A123" i="19"/>
  <c r="A124" i="19"/>
  <c r="A119" i="19"/>
  <c r="A120" i="19"/>
  <c r="A121" i="19"/>
  <c r="O166" i="10"/>
  <c r="O165" i="10"/>
  <c r="O9" i="10"/>
  <c r="O62" i="10"/>
  <c r="O127" i="10"/>
  <c r="O154" i="10"/>
  <c r="O59" i="10"/>
  <c r="A116" i="19"/>
  <c r="A117" i="19"/>
  <c r="A118" i="19"/>
  <c r="A113" i="19"/>
  <c r="A114" i="19"/>
  <c r="A115" i="19"/>
  <c r="A110" i="19"/>
  <c r="A111" i="19"/>
  <c r="A112" i="19"/>
  <c r="A107" i="19"/>
  <c r="A108" i="19"/>
  <c r="A109" i="19"/>
  <c r="O99" i="10"/>
  <c r="A104" i="19"/>
  <c r="A105" i="19"/>
  <c r="A106" i="19"/>
  <c r="A101" i="19"/>
  <c r="A102" i="19"/>
  <c r="A103" i="19"/>
  <c r="A98" i="19"/>
  <c r="A99" i="19"/>
  <c r="A100" i="19"/>
  <c r="A95" i="19"/>
  <c r="A96" i="19"/>
  <c r="A97" i="19"/>
  <c r="A92" i="19"/>
  <c r="A93" i="19"/>
  <c r="A94" i="19"/>
  <c r="O16" i="10"/>
  <c r="O164" i="10"/>
  <c r="O161" i="10"/>
  <c r="O157" i="10"/>
  <c r="O156" i="10"/>
  <c r="O155" i="10"/>
  <c r="O53" i="10"/>
  <c r="O52" i="10"/>
  <c r="O51" i="10"/>
  <c r="O50" i="10"/>
  <c r="O49" i="10"/>
  <c r="O48" i="10"/>
  <c r="O135" i="10"/>
  <c r="O56" i="10"/>
  <c r="O111" i="10"/>
  <c r="O110" i="10"/>
  <c r="A89" i="19"/>
  <c r="A90" i="19"/>
  <c r="A91" i="19"/>
  <c r="A86" i="19"/>
  <c r="A87" i="19"/>
  <c r="A88" i="19"/>
  <c r="A83" i="19"/>
  <c r="A84" i="19"/>
  <c r="A85" i="19"/>
  <c r="A80" i="19"/>
  <c r="A81" i="19"/>
  <c r="A82" i="19"/>
  <c r="O92" i="10"/>
  <c r="A77" i="19"/>
  <c r="A78" i="19"/>
  <c r="A79" i="19"/>
  <c r="A74" i="19"/>
  <c r="A75" i="19"/>
  <c r="A76" i="19"/>
  <c r="A71" i="19"/>
  <c r="A72" i="19"/>
  <c r="A73" i="19"/>
  <c r="A68" i="19"/>
  <c r="A69" i="19"/>
  <c r="A70" i="19"/>
  <c r="O153" i="10"/>
  <c r="A65" i="19"/>
  <c r="A66" i="19"/>
  <c r="A67" i="19"/>
  <c r="O134" i="10"/>
  <c r="A62" i="19"/>
  <c r="A63" i="19"/>
  <c r="A64"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4" i="19"/>
  <c r="A3" i="19"/>
  <c r="A2" i="19"/>
  <c r="O133" i="10"/>
  <c r="O109" i="10"/>
  <c r="O108" i="10"/>
  <c r="O75" i="10"/>
  <c r="O74" i="10"/>
  <c r="O144" i="10"/>
  <c r="O145" i="10"/>
  <c r="O146" i="10"/>
  <c r="O147" i="10"/>
  <c r="O137" i="10"/>
  <c r="O138" i="10"/>
  <c r="O148" i="10"/>
  <c r="O152" i="10"/>
  <c r="O151" i="10"/>
  <c r="O150" i="10"/>
  <c r="O149" i="10"/>
  <c r="O143" i="10"/>
  <c r="O142" i="10"/>
  <c r="O141" i="10"/>
  <c r="O140" i="10"/>
  <c r="O38" i="10"/>
  <c r="O39" i="10"/>
  <c r="O40" i="10"/>
  <c r="O41" i="10"/>
  <c r="O42" i="10"/>
  <c r="O43" i="10"/>
  <c r="O44" i="10"/>
  <c r="O45" i="10"/>
  <c r="O46" i="10"/>
  <c r="O47" i="10"/>
  <c r="O28" i="10"/>
  <c r="O29" i="10"/>
  <c r="O31" i="10"/>
  <c r="O33" i="10"/>
  <c r="O34" i="10"/>
  <c r="O36" i="10"/>
  <c r="O37" i="10"/>
  <c r="O22" i="10"/>
  <c r="O23" i="10"/>
  <c r="O25" i="10"/>
  <c r="O26" i="10"/>
  <c r="O21" i="10"/>
  <c r="O20" i="10"/>
  <c r="O136" i="10"/>
  <c r="O7" i="10"/>
  <c r="O103" i="10"/>
  <c r="O15" i="10"/>
  <c r="O128" i="10"/>
  <c r="O129" i="10"/>
  <c r="O130" i="10"/>
  <c r="O122" i="10"/>
  <c r="O131" i="10"/>
  <c r="O132" i="10"/>
  <c r="O139" i="10"/>
  <c r="O14" i="10"/>
  <c r="O13" i="10"/>
  <c r="O100" i="10"/>
  <c r="O101" i="10"/>
  <c r="O102" i="10"/>
  <c r="O104" i="10"/>
  <c r="O106" i="10"/>
  <c r="O81" i="10"/>
  <c r="O107" i="10"/>
  <c r="O113" i="10"/>
  <c r="O114" i="10"/>
  <c r="O115" i="10"/>
  <c r="O125" i="10"/>
  <c r="O116" i="10"/>
  <c r="O117" i="10"/>
  <c r="O118" i="10"/>
  <c r="O119" i="10"/>
  <c r="O120" i="10"/>
  <c r="O121" i="10"/>
  <c r="O126" i="10"/>
  <c r="O79" i="10"/>
  <c r="O73" i="10"/>
  <c r="O80" i="10"/>
  <c r="O83" i="10"/>
  <c r="O84" i="10"/>
  <c r="O85" i="10"/>
  <c r="O87" i="10"/>
  <c r="O88" i="10"/>
  <c r="O89" i="10"/>
  <c r="O90" i="10"/>
  <c r="O93" i="10"/>
  <c r="O91" i="10"/>
  <c r="O94" i="10"/>
  <c r="O95" i="10"/>
  <c r="O96" i="10"/>
  <c r="O97" i="10"/>
  <c r="O98" i="10"/>
  <c r="O3" i="10"/>
  <c r="O112" i="10"/>
  <c r="O4" i="10"/>
  <c r="O5" i="10"/>
  <c r="O6" i="10"/>
  <c r="O8" i="10"/>
  <c r="O10" i="10"/>
  <c r="O11" i="10"/>
  <c r="O12" i="10"/>
  <c r="O65" i="10"/>
  <c r="O66" i="10"/>
  <c r="O82" i="10"/>
  <c r="O67" i="10"/>
  <c r="O68" i="10"/>
  <c r="O70" i="10"/>
  <c r="O71" i="10"/>
  <c r="O72" i="10"/>
  <c r="O76" i="10"/>
  <c r="O77" i="10"/>
  <c r="O78" i="10"/>
  <c r="O2" i="10"/>
  <c r="E113" i="10"/>
  <c r="F113" i="10" s="1"/>
  <c r="E114" i="10" s="1"/>
  <c r="F114" i="10" s="1"/>
  <c r="E76" i="10"/>
  <c r="F77" i="10"/>
  <c r="F76" i="10" s="1"/>
  <c r="E77" i="10" s="1"/>
  <c r="E131" i="10" l="1"/>
  <c r="E107" i="10"/>
  <c r="E80" i="10"/>
</calcChain>
</file>

<file path=xl/sharedStrings.xml><?xml version="1.0" encoding="utf-8"?>
<sst xmlns="http://schemas.openxmlformats.org/spreadsheetml/2006/main" count="3453" uniqueCount="461">
  <si>
    <t>ProjectID</t>
  </si>
  <si>
    <t>Activities</t>
  </si>
  <si>
    <t>Owner</t>
  </si>
  <si>
    <t>App.Engg</t>
  </si>
  <si>
    <t>Start Date</t>
  </si>
  <si>
    <t>End Date</t>
  </si>
  <si>
    <t>Activity status</t>
  </si>
  <si>
    <t>Weightage</t>
  </si>
  <si>
    <t>Progress Status</t>
  </si>
  <si>
    <t>%Complete</t>
  </si>
  <si>
    <t>Dependency</t>
  </si>
  <si>
    <t>Dependency owner</t>
  </si>
  <si>
    <t>Dependency status</t>
  </si>
  <si>
    <t>Dependency complition date</t>
  </si>
  <si>
    <t>W%complition</t>
  </si>
  <si>
    <t>PRO1</t>
  </si>
  <si>
    <t>DMM-KEYSIGHT34465A</t>
  </si>
  <si>
    <t>Sneha</t>
  </si>
  <si>
    <t>Sachith</t>
  </si>
  <si>
    <t>Closed</t>
  </si>
  <si>
    <t>Completed</t>
  </si>
  <si>
    <t>Machine is not ready</t>
  </si>
  <si>
    <t>Murali</t>
  </si>
  <si>
    <t>CLOSED</t>
  </si>
  <si>
    <t>LED Analyser-Feasa -Feasa 5F</t>
  </si>
  <si>
    <t>Manik</t>
  </si>
  <si>
    <t>OPEN</t>
  </si>
  <si>
    <t>Not Started</t>
  </si>
  <si>
    <t>Radio Test Head - R&amp;S-CMW100</t>
  </si>
  <si>
    <t>Reference Instrument for Pressure Sensor-Mensor-CPT6180</t>
  </si>
  <si>
    <t>Information Required</t>
  </si>
  <si>
    <t>Prasad</t>
  </si>
  <si>
    <t>LoRa Gateway Module – US915-RAK Wireless-RAK7268V2</t>
  </si>
  <si>
    <t>LoRa Gateway Module – EU858-RAK Wireless-RAK7268V2</t>
  </si>
  <si>
    <t>Reference Instrument for Sensors Simulation-D.02-002-Nano DST</t>
  </si>
  <si>
    <t>16/10/2024</t>
  </si>
  <si>
    <t>Bluetooth Module-Nordic-NRF52840</t>
  </si>
  <si>
    <t xml:space="preserve">Script Required </t>
  </si>
  <si>
    <t>Customer</t>
  </si>
  <si>
    <t>Testing01</t>
  </si>
  <si>
    <t>sachith</t>
  </si>
  <si>
    <t>Internal Sign Off01</t>
  </si>
  <si>
    <t>Customer Sign off01</t>
  </si>
  <si>
    <t>Fixed Scanner -Keyence -SR-X100N</t>
  </si>
  <si>
    <t>Anusha</t>
  </si>
  <si>
    <t>On Hold</t>
  </si>
  <si>
    <t>In Progress</t>
  </si>
  <si>
    <t>Device Model ,commands</t>
  </si>
  <si>
    <t xml:space="preserve">Digital I/O Interface-ICPIO </t>
  </si>
  <si>
    <t>UART Communication</t>
  </si>
  <si>
    <t>Proper connectivity needed</t>
  </si>
  <si>
    <t>30/09/2024</t>
  </si>
  <si>
    <t>PRO10</t>
  </si>
  <si>
    <t>SMU ( Source Measuring Unit )-GW-GSM-20H10</t>
  </si>
  <si>
    <t>Adithya</t>
  </si>
  <si>
    <t>Grading Machine For MOSFET(Turntide)</t>
  </si>
  <si>
    <t>Pradeep</t>
  </si>
  <si>
    <t>testing10</t>
  </si>
  <si>
    <t>Mutturaman</t>
  </si>
  <si>
    <t>Customer signoff10</t>
  </si>
  <si>
    <t>PRO11</t>
  </si>
  <si>
    <t>MTS Main screen</t>
  </si>
  <si>
    <t>PRO12</t>
  </si>
  <si>
    <t>Object detection-Template matching algo development</t>
  </si>
  <si>
    <t>Sunita</t>
  </si>
  <si>
    <t>Sathya</t>
  </si>
  <si>
    <t>object detection-Tm testing and feature extraction algo development</t>
  </si>
  <si>
    <t>object detection-feature extraction development and testing</t>
  </si>
  <si>
    <t>Object detection-research on new algorithm</t>
  </si>
  <si>
    <t>Color identification-Get set pixel algo development</t>
  </si>
  <si>
    <t>Color identification-testing and inrange algo development</t>
  </si>
  <si>
    <t>Color identification-research on new algorithm</t>
  </si>
  <si>
    <t>Blob detection-contour algo development</t>
  </si>
  <si>
    <t>Blob detection-contour algo development testing</t>
  </si>
  <si>
    <t>Blob detection-research on new algorithm</t>
  </si>
  <si>
    <t>Intensity identification-get set pixel algo development</t>
  </si>
  <si>
    <t>Intensity identification--research on new algorithm</t>
  </si>
  <si>
    <t>OCR reading-paddle ocr development</t>
  </si>
  <si>
    <t>OCR reading-tesseract ocr development</t>
  </si>
  <si>
    <t>OCR reading-research on new algorithm</t>
  </si>
  <si>
    <t>UI Development(main window,training and testing window)</t>
  </si>
  <si>
    <t>Training window responsive and database</t>
  </si>
  <si>
    <t>Object detection-Template matching algo development adding to training area</t>
  </si>
  <si>
    <t>object detection-Tm testing and feature extraction algo development adding to training area</t>
  </si>
  <si>
    <t>completed</t>
  </si>
  <si>
    <t>object detection-feature extraction development and testing adding to training area</t>
  </si>
  <si>
    <t>Color identification-Get set pixel algo development adding to training area</t>
  </si>
  <si>
    <t>Color identification-testing and inrange algo development adding to training area</t>
  </si>
  <si>
    <t>Blob detection-contour algo development adding to training area</t>
  </si>
  <si>
    <t>Blob detection-contour algo development testing adding to training area</t>
  </si>
  <si>
    <t>Intensity identification-get set pixel algo development adding to training area</t>
  </si>
  <si>
    <t xml:space="preserve"> OCR reading-paddle ocr development adding to training area</t>
  </si>
  <si>
    <t>OCR reading-tesseract ocr development adding to training area</t>
  </si>
  <si>
    <t>PRO13</t>
  </si>
  <si>
    <t>Barcode Scanner - Fixed  --Symbol/Zebra</t>
  </si>
  <si>
    <t>Muthuraman</t>
  </si>
  <si>
    <t>Scara Robot with Controller  MAKE-Epson  ,  PART NO-T3</t>
  </si>
  <si>
    <t>PPS - GW-Instek -GPP-2323</t>
  </si>
  <si>
    <t xml:space="preserve">	
DMM      MAKE-GW-Instek, PART NO-GDM-8261A</t>
  </si>
  <si>
    <t xml:space="preserve">	
DC  Electronic Load    MAKE- BKP, PART NO-8061</t>
  </si>
  <si>
    <t xml:space="preserve">	
CAN Transciever   MAKE- NI ,PART NO-USB-8502
</t>
  </si>
  <si>
    <t>Anil</t>
  </si>
  <si>
    <t>Customer Part</t>
  </si>
  <si>
    <t>Chandan</t>
  </si>
  <si>
    <t>17-12-2024</t>
  </si>
  <si>
    <t>testing13</t>
  </si>
  <si>
    <t>customer signoff13</t>
  </si>
  <si>
    <t>PRO14</t>
  </si>
  <si>
    <t>CANalyzer PRO  Software for Flashing</t>
  </si>
  <si>
    <t>Flashing through Software</t>
  </si>
  <si>
    <t>Testing14</t>
  </si>
  <si>
    <t>Sushmitha</t>
  </si>
  <si>
    <t>customer signoff 14</t>
  </si>
  <si>
    <t>PRO15</t>
  </si>
  <si>
    <t xml:space="preserve"> Keypad inspection</t>
  </si>
  <si>
    <t>Master Variant Needed for one Variant</t>
  </si>
  <si>
    <t>Testing15</t>
  </si>
  <si>
    <t>coustomer signoff15</t>
  </si>
  <si>
    <t>PRO16</t>
  </si>
  <si>
    <t>Multiple line traceability</t>
  </si>
  <si>
    <t>testing16</t>
  </si>
  <si>
    <t>customer signoff16</t>
  </si>
  <si>
    <t>PRO2</t>
  </si>
  <si>
    <t>Testing02</t>
  </si>
  <si>
    <t>Internal Sign Off02</t>
  </si>
  <si>
    <t xml:space="preserve">Label Printer- CAB SQUIX 4/600M </t>
  </si>
  <si>
    <t>Ribbon/Label</t>
  </si>
  <si>
    <t>Hand Held Scanner -Datalogic or equivalent</t>
  </si>
  <si>
    <t>Read DBC File Through CAN</t>
  </si>
  <si>
    <t xml:space="preserve">Require Support </t>
  </si>
  <si>
    <t>Calculations</t>
  </si>
  <si>
    <t>Formula</t>
  </si>
  <si>
    <t>22/9/2024</t>
  </si>
  <si>
    <t>LCRMeter -GWINSTEKLCR6100</t>
  </si>
  <si>
    <t>Instrument</t>
  </si>
  <si>
    <t>Customer Sign off02</t>
  </si>
  <si>
    <t>ICPDIO</t>
  </si>
  <si>
    <t>Naxnova Reports</t>
  </si>
  <si>
    <t>GUI Screen Modification</t>
  </si>
  <si>
    <t>PRO3</t>
  </si>
  <si>
    <t>Testing03</t>
  </si>
  <si>
    <t>Internal Sign Off03</t>
  </si>
  <si>
    <t>AC Programmable Power Source, 230VAC,1A -GW /Equivalent</t>
  </si>
  <si>
    <t>The model has not been decided.</t>
  </si>
  <si>
    <t>Digital Multimeter - GW /Equivalent</t>
  </si>
  <si>
    <t>Customer Sign off03</t>
  </si>
  <si>
    <t>Digital I/O Interface - Distributed I/O ICPDAS</t>
  </si>
  <si>
    <t>PRO4</t>
  </si>
  <si>
    <t>Scanner - Cognex - DMR152S</t>
  </si>
  <si>
    <t>Unit test</t>
  </si>
  <si>
    <t xml:space="preserve">Device </t>
  </si>
  <si>
    <t>CAN- National Instruments - 8502(UDS)</t>
  </si>
  <si>
    <t>Testing04</t>
  </si>
  <si>
    <t>HIPOTTester- MicroTest7631</t>
  </si>
  <si>
    <t xml:space="preserve">NI DIO ToolMonitor </t>
  </si>
  <si>
    <t>I-TAC</t>
  </si>
  <si>
    <t>Power meter Yokogawa-Wt310</t>
  </si>
  <si>
    <t>PPS -ITECHIT6005C</t>
  </si>
  <si>
    <t>Internal Sign Off04</t>
  </si>
  <si>
    <t>Customer Sign off04</t>
  </si>
  <si>
    <t>NI DIO Driver</t>
  </si>
  <si>
    <t>PRO5</t>
  </si>
  <si>
    <t>Digital I/O(ICP CON)</t>
  </si>
  <si>
    <t>Testing05</t>
  </si>
  <si>
    <t>Internal Sign Off05</t>
  </si>
  <si>
    <t>CAN(PCAN)&amp;NI-XNET</t>
  </si>
  <si>
    <t>DMM - GWInstekGDM8261</t>
  </si>
  <si>
    <t>frequency generator-Unitronics(V130-J-T2)(MODBUS-RTU)</t>
  </si>
  <si>
    <t>Vision Communication (TCP IP)</t>
  </si>
  <si>
    <t>Oscilloscope- TBS10S2C</t>
  </si>
  <si>
    <t>PPS- GWInstek2323</t>
  </si>
  <si>
    <t>Printer(Zebra)</t>
  </si>
  <si>
    <t>Vision(OCR)</t>
  </si>
  <si>
    <t>Vision(OCR, Traning window)</t>
  </si>
  <si>
    <t xml:space="preserve">Pradeep </t>
  </si>
  <si>
    <t>Calculation</t>
  </si>
  <si>
    <t>Scanner(Datalogic)</t>
  </si>
  <si>
    <t>Customer Sign off05</t>
  </si>
  <si>
    <t>GUI Screen Modification(Dual fixtures)</t>
  </si>
  <si>
    <t>Vision Algorithms (OCR ,Template
Matching,Multiple Template Matching, 
Feature Extraction,Color Picker,
Intensity value Extraction,Blob Algorithm Development and Training )</t>
  </si>
  <si>
    <t>Report</t>
  </si>
  <si>
    <t>MTS Screen Modification(Dual fixtures)</t>
  </si>
  <si>
    <t>PRO6</t>
  </si>
  <si>
    <t>6TL- Matrix (YAV90069)</t>
  </si>
  <si>
    <t>Testing06</t>
  </si>
  <si>
    <t>Internal Sign Off06</t>
  </si>
  <si>
    <t>Customer Sign off06</t>
  </si>
  <si>
    <t>PPS - ITM7723 (ITECH AC Power Supply 300V, 12A )</t>
  </si>
  <si>
    <t>PPS - GWInstekPFR100M (DC Power Supply 250V, 2A)</t>
  </si>
  <si>
    <t>PPS- GWInstekPPX10H01(DC Power Supply 100V, 1A )</t>
  </si>
  <si>
    <t>PPS- GWInstekAPS7050 (AC Power Supply 310V, 2.1A)</t>
  </si>
  <si>
    <t>DMM- GWInstek-GDM9061(Digital Multimeter 6 ½  Digit)</t>
  </si>
  <si>
    <t>NI-CAN (784661-01)</t>
  </si>
  <si>
    <t>Flashing For DTU</t>
  </si>
  <si>
    <t>Bench Setup</t>
  </si>
  <si>
    <t>Basavraju</t>
  </si>
  <si>
    <t>Flashing For OBC</t>
  </si>
  <si>
    <t>Flashing Manualy</t>
  </si>
  <si>
    <t>Modbus Communication For Multi Function Meter</t>
  </si>
  <si>
    <t>PPS - IT6018C300225 (ITECH DC Power Supply 300V, 225A Bidirectional)</t>
  </si>
  <si>
    <t>PEAK- USBCAN</t>
  </si>
  <si>
    <t xml:space="preserve">OBC - Rs232 Communication </t>
  </si>
  <si>
    <t>PRO7</t>
  </si>
  <si>
    <t>Testing07</t>
  </si>
  <si>
    <t>Internal Sign Off07</t>
  </si>
  <si>
    <t>Traceability(syrma)</t>
  </si>
  <si>
    <t>ClOSED</t>
  </si>
  <si>
    <t>Customer Sign off07</t>
  </si>
  <si>
    <t>Traceability testing(syrma)</t>
  </si>
  <si>
    <t>PLC Programming(syrma)</t>
  </si>
  <si>
    <t>Prabu</t>
  </si>
  <si>
    <t>Application discussion, Final IO list, Sequence</t>
  </si>
  <si>
    <t>Vithal,Rajesh,Muthu Raman/Sathyamoorthy</t>
  </si>
  <si>
    <t>Modbus Programming for Gantry Robot</t>
  </si>
  <si>
    <t>PRO8</t>
  </si>
  <si>
    <t>UID generator, label printing(TSC TE210)</t>
  </si>
  <si>
    <t>Replace "rework" with "rework done" while approving rework.</t>
  </si>
  <si>
    <t>Manual pass needs to be removed.</t>
  </si>
  <si>
    <t>Customer Sign off08</t>
  </si>
  <si>
    <t>Testing 08</t>
  </si>
  <si>
    <t>UID generator should be based on operator login.</t>
  </si>
  <si>
    <t>Implement station-wise operator login.</t>
  </si>
  <si>
    <t>Rework station should be identified by station name.</t>
  </si>
  <si>
    <t>Equipment ID needs to be changed.</t>
  </si>
  <si>
    <t>Yazaki need to provide the names</t>
  </si>
  <si>
    <t>Message box should display for at least 5 seconds, and the error message needs to be altered.</t>
  </si>
  <si>
    <t>FIFO option should be provided.</t>
  </si>
  <si>
    <t>Enable/disable option for FIFO should be available.</t>
  </si>
  <si>
    <t>Plan for what happens when the UID generator's serial number reaches 999999.</t>
  </si>
  <si>
    <t>Standard name should be displayed on the dashboard.</t>
  </si>
  <si>
    <t>Report needs to be updated (single report).</t>
  </si>
  <si>
    <t>Report format should be given</t>
  </si>
  <si>
    <t>Measurement data needs to be confirmed by the customer.</t>
  </si>
  <si>
    <t>Information needed</t>
  </si>
  <si>
    <t>User manual</t>
  </si>
  <si>
    <t>PLC Programing (yazaki)</t>
  </si>
  <si>
    <t>Barcode Generate plugin</t>
  </si>
  <si>
    <t>PRO9</t>
  </si>
  <si>
    <t>PPS APM SP300VAC5000W</t>
  </si>
  <si>
    <t>Mutturaman/Sathya</t>
  </si>
  <si>
    <t>PPS DC Bidirectional ITECH IT6005C – 80-150</t>
  </si>
  <si>
    <t xml:space="preserve">PPS DC Bidirectional ITECH IT6006C-300-75 </t>
  </si>
  <si>
    <t>Controller Hantas mdc-26</t>
  </si>
  <si>
    <t>Modbus Communication For Gantry Robot</t>
  </si>
  <si>
    <t xml:space="preserve">IR Tester Microtest 7631 </t>
  </si>
  <si>
    <t xml:space="preserve">DMM Keysight 34456A </t>
  </si>
  <si>
    <t>CAN UDS NI 8502-01</t>
  </si>
  <si>
    <t>DLL required</t>
  </si>
  <si>
    <t>Efficiency</t>
  </si>
  <si>
    <t>CAN Transceiever NI 8502-01</t>
  </si>
  <si>
    <t>Measurment Data</t>
  </si>
  <si>
    <t>Traceability</t>
  </si>
  <si>
    <t>Testing09</t>
  </si>
  <si>
    <t>customer signoff09</t>
  </si>
  <si>
    <t>Packing station</t>
  </si>
  <si>
    <t>River Rider</t>
  </si>
  <si>
    <t>Uid Generator</t>
  </si>
  <si>
    <t xml:space="preserve">DTU - Rs232 Communication </t>
  </si>
  <si>
    <t>MCU - Report</t>
  </si>
  <si>
    <t>DB Integration</t>
  </si>
  <si>
    <t xml:space="preserve">Information needed </t>
  </si>
  <si>
    <t>PRO17</t>
  </si>
  <si>
    <t>PPS</t>
  </si>
  <si>
    <t>Basavraj</t>
  </si>
  <si>
    <t>DMM</t>
  </si>
  <si>
    <t>CAN Communication</t>
  </si>
  <si>
    <t>Can details required</t>
  </si>
  <si>
    <t xml:space="preserve">Flasher </t>
  </si>
  <si>
    <t xml:space="preserve">BEV Varient not working, </t>
  </si>
  <si>
    <t>UART</t>
  </si>
  <si>
    <t>30/10/2025</t>
  </si>
  <si>
    <t>Oscilloscope</t>
  </si>
  <si>
    <t>Oscilloscope Bench Setup</t>
  </si>
  <si>
    <t>MTS ui (FTM)</t>
  </si>
  <si>
    <t>Testing17</t>
  </si>
  <si>
    <t>customer signoff17</t>
  </si>
  <si>
    <t>Image display</t>
  </si>
  <si>
    <t>Image display(minda)</t>
  </si>
  <si>
    <t>Open</t>
  </si>
  <si>
    <t>Grading Machine for MOSFET - Report</t>
  </si>
  <si>
    <t>EOL For Wireless Chargeing Module(WCM) - Barcode Generation</t>
  </si>
  <si>
    <t>EOL For Wireless Chargeing Module(WCM) - Master Data</t>
  </si>
  <si>
    <t>Assembly line for OBC 3.3KW - Master Data and Prn for Barcode Generation</t>
  </si>
  <si>
    <t>Assembly line for OBC 3.3KW - Barcode Generation</t>
  </si>
  <si>
    <t>PRO18</t>
  </si>
  <si>
    <t>Traceability(Turntide)</t>
  </si>
  <si>
    <t>Information needed ,Master data required</t>
  </si>
  <si>
    <t>Daniel</t>
  </si>
  <si>
    <t>DB Integration(Turntide)</t>
  </si>
  <si>
    <t>Image display(Turntide)</t>
  </si>
  <si>
    <t>Testing18</t>
  </si>
  <si>
    <t>Internal signoff18</t>
  </si>
  <si>
    <t>customer signoff18</t>
  </si>
  <si>
    <t>CAN log file configuration</t>
  </si>
  <si>
    <t>Printer</t>
  </si>
  <si>
    <t>Measurement data (Leak Testing)</t>
  </si>
  <si>
    <t>DIO Driver -F75111, Gen13 V and Gen 11 V</t>
  </si>
  <si>
    <t>DIO Toolmonitor  -F75111, Gen13 V and Gen 11 V</t>
  </si>
  <si>
    <t>Feasa  LED Analyser[RS232]</t>
  </si>
  <si>
    <t>Can Flashed status Read driver</t>
  </si>
  <si>
    <t>LCR</t>
  </si>
  <si>
    <t>PRO19</t>
  </si>
  <si>
    <t xml:space="preserve">DMM </t>
  </si>
  <si>
    <t>Laser marking</t>
  </si>
  <si>
    <t>testing 19</t>
  </si>
  <si>
    <t>Customer signoff 19</t>
  </si>
  <si>
    <t>PRO20</t>
  </si>
  <si>
    <t>Testing 20 Naxnova</t>
  </si>
  <si>
    <t>Customer signoff 20</t>
  </si>
  <si>
    <t>Vithal</t>
  </si>
  <si>
    <t>PRO21</t>
  </si>
  <si>
    <t xml:space="preserve">Vision </t>
  </si>
  <si>
    <t>Annesh</t>
  </si>
  <si>
    <t>PRO22</t>
  </si>
  <si>
    <t>Testing Indicator</t>
  </si>
  <si>
    <t>PRO23</t>
  </si>
  <si>
    <t>Flash Programmer</t>
  </si>
  <si>
    <t>Sreerag</t>
  </si>
  <si>
    <t>Flasher details, Flashing procedure, flashing files, bench setup</t>
  </si>
  <si>
    <t>CAN Transceiver</t>
  </si>
  <si>
    <t>CAN details, bench setup</t>
  </si>
  <si>
    <t>Fixed Scanner</t>
  </si>
  <si>
    <t>Scanner command wrt model. Bench setup</t>
  </si>
  <si>
    <t>Device details, communication protocol, bench setup</t>
  </si>
  <si>
    <t>Function Generator</t>
  </si>
  <si>
    <t>Prithvisha</t>
  </si>
  <si>
    <t>Signal Generator</t>
  </si>
  <si>
    <t>Multiplexer</t>
  </si>
  <si>
    <t>Frequency Generator</t>
  </si>
  <si>
    <t xml:space="preserve">DC Electronic load </t>
  </si>
  <si>
    <t xml:space="preserve">Oscilloscope </t>
  </si>
  <si>
    <t>Printer model make, ribbon, labels and content.</t>
  </si>
  <si>
    <t>SKIM</t>
  </si>
  <si>
    <t>PRO24</t>
  </si>
  <si>
    <t xml:space="preserve">CAN </t>
  </si>
  <si>
    <t>Camera</t>
  </si>
  <si>
    <t>Spectrum Analyzer</t>
  </si>
  <si>
    <t xml:space="preserve">Laser Controller </t>
  </si>
  <si>
    <t>PRO25</t>
  </si>
  <si>
    <t>Laser Controller</t>
  </si>
  <si>
    <t>Fuction Generator</t>
  </si>
  <si>
    <t>UHF Receiver</t>
  </si>
  <si>
    <t>MTS Generalization UI</t>
  </si>
  <si>
    <t xml:space="preserve">SCPI based Programmable Instruments </t>
  </si>
  <si>
    <t>Modbus</t>
  </si>
  <si>
    <t>CAN</t>
  </si>
  <si>
    <t>FLASHING</t>
  </si>
  <si>
    <t>RS-232</t>
  </si>
  <si>
    <t>Basavaraj</t>
  </si>
  <si>
    <t>Unit Test</t>
  </si>
  <si>
    <t>tcp/ip</t>
  </si>
  <si>
    <t>Soldering Machine</t>
  </si>
  <si>
    <t>PRO27</t>
  </si>
  <si>
    <t>Bench setup</t>
  </si>
  <si>
    <t>Digital Power Meter</t>
  </si>
  <si>
    <t>Bluetooth Dongle</t>
  </si>
  <si>
    <t>PRO28</t>
  </si>
  <si>
    <t>PRO29</t>
  </si>
  <si>
    <t>Process traceability</t>
  </si>
  <si>
    <t>Master data and barcode details</t>
  </si>
  <si>
    <t>Part traceability</t>
  </si>
  <si>
    <t>childpart barcode details</t>
  </si>
  <si>
    <t>Dual screen UI</t>
  </si>
  <si>
    <t>Venkat</t>
  </si>
  <si>
    <t>3 screen UI</t>
  </si>
  <si>
    <t>PRO26</t>
  </si>
  <si>
    <t>DC Electronic Load</t>
  </si>
  <si>
    <t xml:space="preserve">Fixed Scanner </t>
  </si>
  <si>
    <t>in Progress</t>
  </si>
  <si>
    <t>MTS Test manager changes</t>
  </si>
  <si>
    <t>MTS Reports(MSA1,MSA3)</t>
  </si>
  <si>
    <t>Project Name</t>
  </si>
  <si>
    <t>Start date</t>
  </si>
  <si>
    <t xml:space="preserve">End date </t>
  </si>
  <si>
    <t>Overall Status</t>
  </si>
  <si>
    <t>Project Health</t>
  </si>
  <si>
    <t>Maintenance Project Name</t>
  </si>
  <si>
    <t>Kirby Smart Device</t>
  </si>
  <si>
    <t>Kirby</t>
  </si>
  <si>
    <t>Cancelled</t>
  </si>
  <si>
    <t>Green</t>
  </si>
  <si>
    <t>EOL For Capacitive Touch Snake Sensor</t>
  </si>
  <si>
    <t>NAXNOVA</t>
  </si>
  <si>
    <t xml:space="preserve">ICT for Pluggable Residual and Current Detector </t>
  </si>
  <si>
    <t>Avalon</t>
  </si>
  <si>
    <t>On Board Charger Hella</t>
  </si>
  <si>
    <t>HELLA</t>
  </si>
  <si>
    <t>Red</t>
  </si>
  <si>
    <t>EOL Tester for Instrument cluster-Indication  instrument</t>
  </si>
  <si>
    <t>Indication Instruments</t>
  </si>
  <si>
    <t>Avalon OBC And DTU</t>
  </si>
  <si>
    <t>Assembly line for ECU -west port -syrma</t>
  </si>
  <si>
    <t>Syrma -westport</t>
  </si>
  <si>
    <t>Yazaki Traceability</t>
  </si>
  <si>
    <t>Yazaki</t>
  </si>
  <si>
    <t>Assembly line for OBC 3.3KW</t>
  </si>
  <si>
    <t>Minda</t>
  </si>
  <si>
    <t>Grading Machine for MOSFET</t>
  </si>
  <si>
    <t>Turntide</t>
  </si>
  <si>
    <t>Amber</t>
  </si>
  <si>
    <t>MTS Vision</t>
  </si>
  <si>
    <t>Micrologic</t>
  </si>
  <si>
    <t xml:space="preserve">MTS </t>
  </si>
  <si>
    <t>EOL For Wireless Chargeing Module(WCM)</t>
  </si>
  <si>
    <t>EOL for 48V MCU</t>
  </si>
  <si>
    <t>Mahindra</t>
  </si>
  <si>
    <t>Keypad inspection</t>
  </si>
  <si>
    <t>Silky</t>
  </si>
  <si>
    <t>Yazaki Traceability(Line2,Line3&amp;Line4)</t>
  </si>
  <si>
    <t>FTM for WCM</t>
  </si>
  <si>
    <t>Minda-Katolec</t>
  </si>
  <si>
    <t>MCU Existing Line Traceability</t>
  </si>
  <si>
    <t>USB Charger</t>
  </si>
  <si>
    <t>EOL For Capacitive Touch Snake Sensor(Additional variant)</t>
  </si>
  <si>
    <t>Suprajith</t>
  </si>
  <si>
    <t>Indicator testing</t>
  </si>
  <si>
    <t>Honda</t>
  </si>
  <si>
    <t>BCON1_CONTROLLER</t>
  </si>
  <si>
    <t>Lumax</t>
  </si>
  <si>
    <t>BCON2_SWITCH</t>
  </si>
  <si>
    <t>BCON3_Key</t>
  </si>
  <si>
    <t>Functional Tester for VCU PCBA</t>
  </si>
  <si>
    <t xml:space="preserve">Syrma </t>
  </si>
  <si>
    <t>Integrated Outdoor Luminaire Controller</t>
  </si>
  <si>
    <t>Signify</t>
  </si>
  <si>
    <t>River Rider 1</t>
  </si>
  <si>
    <t>Assembly line for Infotainment System</t>
  </si>
  <si>
    <t>Panasonic Automotive</t>
  </si>
  <si>
    <t>on Hold</t>
  </si>
  <si>
    <t>Not started</t>
  </si>
  <si>
    <t>EOL For Wireless charger</t>
  </si>
  <si>
    <t>Yazaki Traceability(Line2&amp;Line3)</t>
  </si>
  <si>
    <t>Issue Description</t>
  </si>
  <si>
    <t>Solution Description</t>
  </si>
  <si>
    <t>Customer feedback</t>
  </si>
  <si>
    <t>Status</t>
  </si>
  <si>
    <t>Duplicate serial number generation</t>
  </si>
  <si>
    <t>Barcode with same content is generated and printed.</t>
  </si>
  <si>
    <t>Now before printing barcode
it will check if the data 
with same barcode is  present 
in db or not.
If present it will not print.
if not present it will print</t>
  </si>
  <si>
    <t>ok</t>
  </si>
  <si>
    <t>closed</t>
  </si>
  <si>
    <t>Sl No</t>
  </si>
  <si>
    <t>Date</t>
  </si>
  <si>
    <t>Activity Status</t>
  </si>
  <si>
    <t>Status Count</t>
  </si>
  <si>
    <t>Software</t>
  </si>
  <si>
    <t>Versions</t>
  </si>
  <si>
    <t>VersionInformation</t>
  </si>
  <si>
    <t>MTS</t>
  </si>
  <si>
    <t xml:space="preserve">v1.0.0 </t>
  </si>
  <si>
    <t>v1.0.1</t>
  </si>
  <si>
    <t>V2.0.0</t>
  </si>
  <si>
    <t>Traceware</t>
  </si>
  <si>
    <t>V2.0.1</t>
  </si>
  <si>
    <t>V1.0.1</t>
  </si>
  <si>
    <t>V3.0.0</t>
  </si>
  <si>
    <t>V5.0.0</t>
  </si>
  <si>
    <t>V1.0.1&amp; V2.0.1</t>
  </si>
  <si>
    <t>v4.0.0</t>
  </si>
  <si>
    <t>v1.0.2 ,v6.0.0&amp;v7.0.0</t>
  </si>
  <si>
    <t>v1.0.2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</si>
</sst>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409]dd\-mmm\-yy;@"/>
  </numFmts>
  <fonts count="28">
    <font>
      <sz val="11"/>
      <color theme="1"/>
      <name val="Calibri"/>
      <family val="2"/>
      <scheme val="minor"/>
    </font>
    <font>
      <b/>
      <sz val="11"/>
      <color theme="1"/>
      <name val="Calibri"/>
      <family val="2"/>
      <scheme val="minor"/>
    </font>
    <font>
      <sz val="12"/>
      <color theme="1"/>
      <name val="Calibri"/>
      <family val="2"/>
      <scheme val="minor"/>
    </font>
    <font>
      <sz val="11"/>
      <color theme="9"/>
      <name val="Calibri"/>
      <family val="2"/>
      <scheme val="minor"/>
    </font>
    <font>
      <shadow/>
      <sz val="12"/>
      <color rgb="FF000000"/>
      <name val="Calibri"/>
      <family val="2"/>
      <scheme val="minor"/>
    </font>
    <font>
      <sz val="11"/>
      <color theme="8"/>
      <name val="Calibri"/>
      <family val="2"/>
      <scheme val="minor"/>
    </font>
    <font>
      <sz val="11"/>
      <color theme="9" tint="-0.249977111117893"/>
      <name val="Calibri"/>
      <family val="2"/>
      <scheme val="minor"/>
    </font>
    <font>
      <sz val="11"/>
      <color rgb="FFFF0000"/>
      <name val="Calibri"/>
      <family val="2"/>
      <scheme val="minor"/>
    </font>
    <font>
      <sz val="8"/>
      <name val="Calibri"/>
      <family val="2"/>
      <scheme val="minor"/>
    </font>
    <font>
      <sz val="11"/>
      <name val="Calibri"/>
      <family val="2"/>
      <scheme val="minor"/>
    </font>
    <font>
      <sz val="12"/>
      <name val="Calibri"/>
      <family val="2"/>
      <scheme val="minor"/>
    </font>
    <font>
      <sz val="12"/>
      <color rgb="FFFF0000"/>
      <name val="Calibri"/>
      <family val="2"/>
      <scheme val="minor"/>
    </font>
    <font>
      <sz val="11"/>
      <color rgb="FF92D050"/>
      <name val="Calibri"/>
      <family val="2"/>
      <scheme val="minor"/>
    </font>
    <font>
      <sz val="11"/>
      <color rgb="FF000000"/>
      <name val="Calibri"/>
      <family val="2"/>
      <scheme val="minor"/>
    </font>
    <font>
      <sz val="11"/>
      <color rgb="FF000000"/>
      <name val="Calibri"/>
      <charset val="1"/>
    </font>
    <font>
      <sz val="11"/>
      <color theme="9" tint="-0.499984740745262"/>
      <name val="Calibri"/>
      <family val="2"/>
      <scheme val="minor"/>
    </font>
    <font>
      <sz val="12"/>
      <color rgb="FF000000"/>
      <name val="Calibri"/>
    </font>
    <font>
      <sz val="11"/>
      <name val="Calibri"/>
    </font>
    <font>
      <sz val="11"/>
      <color rgb="FF92D050"/>
      <name val="Calibri"/>
      <charset val="1"/>
    </font>
    <font>
      <sz val="11"/>
      <color theme="9" tint="0.39997558519241921"/>
      <name val="Calibri"/>
      <family val="2"/>
      <scheme val="minor"/>
    </font>
    <font>
      <sz val="11"/>
      <color theme="1"/>
      <name val="Calibri"/>
      <charset val="1"/>
    </font>
    <font>
      <sz val="11"/>
      <color theme="9" tint="0.59999389629810485"/>
      <name val="Calibri"/>
      <family val="2"/>
      <scheme val="minor"/>
    </font>
    <font>
      <sz val="11"/>
      <color rgb="FF70AD47"/>
      <name val="Calibri"/>
      <charset val="1"/>
    </font>
    <font>
      <sz val="11"/>
      <color rgb="FFA9D08E"/>
      <name val="Calibri"/>
      <charset val="1"/>
    </font>
    <font>
      <sz val="11"/>
      <color theme="9" tint="-0.249977111117893"/>
      <name val="Calibri"/>
      <charset val="1"/>
    </font>
    <font>
      <sz val="11"/>
      <color theme="9" tint="-0.249977111117893"/>
      <name val="Calibri"/>
      <scheme val="minor"/>
    </font>
    <font>
      <sz val="11"/>
      <color rgb="FF375623"/>
      <name val="Calibri"/>
      <charset val="1"/>
    </font>
    <font>
      <sz val="11"/>
      <color rgb="FF000000"/>
      <name val="Calibri"/>
      <family val="2"/>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FFFF"/>
        <bgColor indexed="64"/>
      </patternFill>
    </fill>
    <fill>
      <patternFill patternType="solid">
        <fgColor theme="0" tint="-0.14999847407452621"/>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6">
    <xf numFmtId="0" fontId="0" fillId="0" borderId="0" xfId="0"/>
    <xf numFmtId="0" fontId="0" fillId="0" borderId="1" xfId="0" applyBorder="1"/>
    <xf numFmtId="0" fontId="0" fillId="3" borderId="1" xfId="0" applyFill="1" applyBorder="1"/>
    <xf numFmtId="0" fontId="2" fillId="3" borderId="1" xfId="0" applyFont="1" applyFill="1" applyBorder="1" applyAlignment="1">
      <alignment horizontal="left"/>
    </xf>
    <xf numFmtId="0" fontId="2" fillId="3" borderId="1" xfId="0" applyFont="1" applyFill="1" applyBorder="1"/>
    <xf numFmtId="0" fontId="4" fillId="0" borderId="1" xfId="0" applyFont="1" applyBorder="1" applyAlignment="1">
      <alignment horizontal="left" vertical="center"/>
    </xf>
    <xf numFmtId="0" fontId="7" fillId="0" borderId="1" xfId="0" applyFont="1" applyBorder="1"/>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xf>
    <xf numFmtId="165" fontId="2" fillId="0" borderId="1" xfId="0" applyNumberFormat="1" applyFont="1" applyBorder="1" applyAlignment="1">
      <alignment horizontal="center"/>
    </xf>
    <xf numFmtId="165" fontId="11" fillId="0" borderId="1" xfId="0" applyNumberFormat="1" applyFont="1" applyBorder="1" applyAlignment="1">
      <alignment horizontal="center"/>
    </xf>
    <xf numFmtId="165" fontId="0" fillId="0" borderId="1" xfId="0" applyNumberFormat="1" applyBorder="1" applyAlignment="1">
      <alignment horizontal="center"/>
    </xf>
    <xf numFmtId="165" fontId="0" fillId="0" borderId="1" xfId="0" applyNumberFormat="1" applyBorder="1"/>
    <xf numFmtId="165" fontId="4" fillId="0" borderId="1" xfId="0" applyNumberFormat="1" applyFont="1" applyBorder="1" applyAlignment="1">
      <alignment horizontal="left" vertical="center"/>
    </xf>
    <xf numFmtId="0" fontId="3" fillId="0" borderId="1" xfId="0" applyFont="1" applyBorder="1" applyAlignment="1">
      <alignment horizontal="left" vertical="center"/>
    </xf>
    <xf numFmtId="165" fontId="3" fillId="0" borderId="1" xfId="0" applyNumberFormat="1" applyFont="1" applyBorder="1" applyAlignment="1">
      <alignment horizontal="left" vertical="center"/>
    </xf>
    <xf numFmtId="14" fontId="3" fillId="0" borderId="1" xfId="0" applyNumberFormat="1" applyFont="1" applyBorder="1" applyAlignment="1">
      <alignment horizontal="left" vertical="center"/>
    </xf>
    <xf numFmtId="9" fontId="3" fillId="0" borderId="1" xfId="0" applyNumberFormat="1" applyFont="1" applyBorder="1" applyAlignment="1">
      <alignment horizontal="left" vertical="center"/>
    </xf>
    <xf numFmtId="0" fontId="9" fillId="0" borderId="1" xfId="0" applyFont="1" applyBorder="1" applyAlignment="1">
      <alignment horizontal="left" vertical="center"/>
    </xf>
    <xf numFmtId="165" fontId="9" fillId="0" borderId="1" xfId="0" applyNumberFormat="1" applyFont="1" applyBorder="1" applyAlignment="1">
      <alignment horizontal="left" vertical="center"/>
    </xf>
    <xf numFmtId="9" fontId="9" fillId="0" borderId="1" xfId="0" applyNumberFormat="1" applyFont="1" applyBorder="1" applyAlignment="1">
      <alignment horizontal="left" vertical="center"/>
    </xf>
    <xf numFmtId="0" fontId="5" fillId="0" borderId="1" xfId="0" applyFont="1" applyBorder="1" applyAlignment="1">
      <alignment horizontal="left" vertical="center"/>
    </xf>
    <xf numFmtId="165" fontId="5" fillId="0" borderId="1" xfId="0" applyNumberFormat="1" applyFont="1" applyBorder="1" applyAlignment="1">
      <alignment horizontal="left" vertical="center"/>
    </xf>
    <xf numFmtId="9" fontId="5" fillId="0" borderId="1" xfId="0" applyNumberFormat="1" applyFont="1" applyBorder="1" applyAlignment="1">
      <alignment horizontal="left" vertical="center"/>
    </xf>
    <xf numFmtId="14" fontId="5" fillId="0" borderId="1" xfId="0" applyNumberFormat="1" applyFont="1" applyBorder="1" applyAlignment="1">
      <alignment horizontal="left" vertical="center"/>
    </xf>
    <xf numFmtId="0" fontId="3" fillId="0" borderId="1" xfId="0" applyFont="1" applyBorder="1" applyAlignment="1">
      <alignment horizontal="left" vertical="center" wrapText="1"/>
    </xf>
    <xf numFmtId="15" fontId="0" fillId="0" borderId="1" xfId="0" applyNumberFormat="1" applyBorder="1"/>
    <xf numFmtId="0" fontId="0" fillId="0" borderId="1" xfId="0" applyBorder="1" applyAlignment="1">
      <alignment horizontal="left" vertical="center"/>
    </xf>
    <xf numFmtId="165" fontId="0" fillId="0" borderId="1" xfId="0" applyNumberFormat="1" applyBorder="1" applyAlignment="1">
      <alignment horizontal="left" vertical="center"/>
    </xf>
    <xf numFmtId="9" fontId="0" fillId="0" borderId="1" xfId="0" applyNumberFormat="1" applyBorder="1" applyAlignment="1">
      <alignment horizontal="left" vertical="center"/>
    </xf>
    <xf numFmtId="0" fontId="13" fillId="0" borderId="1" xfId="0" applyFont="1" applyBorder="1" applyAlignment="1">
      <alignment horizontal="left" vertical="center"/>
    </xf>
    <xf numFmtId="165" fontId="13" fillId="0" borderId="1" xfId="0" applyNumberFormat="1" applyFont="1" applyBorder="1" applyAlignment="1">
      <alignment horizontal="left" vertical="center"/>
    </xf>
    <xf numFmtId="9" fontId="13" fillId="0" borderId="1" xfId="0" applyNumberFormat="1" applyFont="1" applyBorder="1" applyAlignment="1">
      <alignment horizontal="left" vertical="center"/>
    </xf>
    <xf numFmtId="0" fontId="6" fillId="0" borderId="1" xfId="0" applyFont="1" applyBorder="1" applyAlignment="1">
      <alignment horizontal="left" vertical="center"/>
    </xf>
    <xf numFmtId="165" fontId="10" fillId="0" borderId="1" xfId="0" applyNumberFormat="1" applyFont="1" applyBorder="1" applyAlignment="1">
      <alignment horizontal="left" vertical="center"/>
    </xf>
    <xf numFmtId="14" fontId="6" fillId="0" borderId="1" xfId="0" applyNumberFormat="1" applyFont="1" applyBorder="1" applyAlignment="1">
      <alignment horizontal="left" vertical="center"/>
    </xf>
    <xf numFmtId="0" fontId="12" fillId="0" borderId="1" xfId="0" applyFont="1" applyBorder="1" applyAlignment="1">
      <alignment horizontal="left" vertical="center"/>
    </xf>
    <xf numFmtId="0" fontId="14" fillId="0" borderId="1" xfId="0" applyFont="1" applyBorder="1" applyAlignment="1">
      <alignment horizontal="lef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9" fillId="0" borderId="3" xfId="0" applyFont="1" applyBorder="1" applyAlignment="1">
      <alignment horizontal="left" vertical="center"/>
    </xf>
    <xf numFmtId="165" fontId="0" fillId="0" borderId="3" xfId="0" applyNumberFormat="1" applyBorder="1" applyAlignment="1">
      <alignment horizontal="left" vertical="center"/>
    </xf>
    <xf numFmtId="9" fontId="0" fillId="0" borderId="3" xfId="0" applyNumberFormat="1" applyBorder="1" applyAlignment="1">
      <alignment horizontal="left" vertical="center"/>
    </xf>
    <xf numFmtId="0" fontId="3" fillId="0" borderId="3" xfId="0" applyFont="1" applyBorder="1" applyAlignment="1">
      <alignment horizontal="left" vertical="center"/>
    </xf>
    <xf numFmtId="164" fontId="5" fillId="0" borderId="4" xfId="0" applyNumberFormat="1" applyFont="1" applyBorder="1" applyAlignment="1">
      <alignment horizontal="left" vertical="center"/>
    </xf>
    <xf numFmtId="0" fontId="0" fillId="0" borderId="5" xfId="0" applyBorder="1"/>
    <xf numFmtId="0" fontId="0" fillId="0" borderId="6" xfId="0" applyBorder="1"/>
    <xf numFmtId="0" fontId="0" fillId="0" borderId="7" xfId="0" applyBorder="1"/>
    <xf numFmtId="0" fontId="0" fillId="0" borderId="8" xfId="0" applyBorder="1"/>
    <xf numFmtId="14" fontId="0" fillId="0" borderId="1" xfId="0" applyNumberFormat="1" applyBorder="1"/>
    <xf numFmtId="0" fontId="0" fillId="0" borderId="9" xfId="0" applyBorder="1"/>
    <xf numFmtId="0" fontId="0" fillId="0" borderId="2" xfId="0" applyBorder="1"/>
    <xf numFmtId="14" fontId="0" fillId="0" borderId="3" xfId="0" applyNumberFormat="1" applyBorder="1"/>
    <xf numFmtId="0" fontId="0" fillId="0" borderId="3" xfId="0" applyBorder="1"/>
    <xf numFmtId="0" fontId="0" fillId="0" borderId="4" xfId="0" applyBorder="1"/>
    <xf numFmtId="14" fontId="13" fillId="0" borderId="1" xfId="0" applyNumberFormat="1" applyFont="1" applyBorder="1" applyAlignment="1">
      <alignment horizontal="left" vertical="center"/>
    </xf>
    <xf numFmtId="0" fontId="0" fillId="0" borderId="8" xfId="0" applyBorder="1" applyAlignment="1">
      <alignment horizontal="left" vertical="center"/>
    </xf>
    <xf numFmtId="164" fontId="5" fillId="0" borderId="9" xfId="0" applyNumberFormat="1" applyFont="1" applyBorder="1" applyAlignment="1">
      <alignment horizontal="left" vertical="center"/>
    </xf>
    <xf numFmtId="165" fontId="6" fillId="0" borderId="1" xfId="0" applyNumberFormat="1" applyFont="1" applyBorder="1" applyAlignment="1">
      <alignment horizontal="left" vertical="center"/>
    </xf>
    <xf numFmtId="9" fontId="6" fillId="0" borderId="1" xfId="0" applyNumberFormat="1" applyFont="1" applyBorder="1" applyAlignment="1">
      <alignment horizontal="left" vertical="center"/>
    </xf>
    <xf numFmtId="0" fontId="0" fillId="0" borderId="0" xfId="0" applyAlignment="1">
      <alignment horizontal="left" vertical="center"/>
    </xf>
    <xf numFmtId="0" fontId="3" fillId="0" borderId="8" xfId="0" applyFont="1" applyBorder="1" applyAlignment="1">
      <alignment horizontal="left" vertical="center"/>
    </xf>
    <xf numFmtId="14" fontId="9"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5" fillId="2" borderId="1" xfId="0" applyFont="1" applyFill="1" applyBorder="1" applyAlignment="1">
      <alignment horizontal="left" vertical="center" wrapText="1"/>
    </xf>
    <xf numFmtId="165" fontId="15" fillId="0" borderId="1" xfId="0" applyNumberFormat="1" applyFont="1" applyBorder="1" applyAlignment="1">
      <alignment horizontal="left" vertical="center"/>
    </xf>
    <xf numFmtId="14" fontId="15" fillId="0" borderId="1" xfId="0" applyNumberFormat="1" applyFont="1" applyBorder="1" applyAlignment="1">
      <alignment horizontal="left" vertical="center"/>
    </xf>
    <xf numFmtId="9" fontId="15" fillId="0" borderId="1" xfId="0" applyNumberFormat="1" applyFont="1" applyBorder="1" applyAlignment="1">
      <alignment horizontal="left" vertical="center"/>
    </xf>
    <xf numFmtId="164" fontId="0" fillId="0" borderId="9" xfId="0" applyNumberFormat="1" applyBorder="1" applyAlignment="1">
      <alignment horizontal="left" vertical="center"/>
    </xf>
    <xf numFmtId="0" fontId="15" fillId="2" borderId="1" xfId="0" applyFont="1" applyFill="1" applyBorder="1" applyAlignment="1">
      <alignment horizontal="left" vertical="center"/>
    </xf>
    <xf numFmtId="0" fontId="3" fillId="0" borderId="0" xfId="0" applyFont="1" applyAlignment="1">
      <alignment horizontal="left" vertical="center"/>
    </xf>
    <xf numFmtId="0" fontId="5" fillId="0" borderId="0" xfId="0" applyFont="1"/>
    <xf numFmtId="0" fontId="3" fillId="0" borderId="0" xfId="0" applyFont="1"/>
    <xf numFmtId="0" fontId="13" fillId="0" borderId="0" xfId="0" applyFont="1" applyAlignment="1">
      <alignment horizontal="left" vertical="center"/>
    </xf>
    <xf numFmtId="0" fontId="13" fillId="0" borderId="0" xfId="0" applyFont="1"/>
    <xf numFmtId="0" fontId="5" fillId="0" borderId="0" xfId="0" applyFont="1" applyAlignment="1">
      <alignment horizontal="left" vertical="center"/>
    </xf>
    <xf numFmtId="165" fontId="0" fillId="0" borderId="0" xfId="0" applyNumberFormat="1" applyAlignment="1">
      <alignment horizontal="left" vertical="center"/>
    </xf>
    <xf numFmtId="0" fontId="3" fillId="0" borderId="1" xfId="0" applyFont="1" applyBorder="1"/>
    <xf numFmtId="0" fontId="9" fillId="3" borderId="6" xfId="0" applyFont="1" applyFill="1" applyBorder="1" applyAlignment="1">
      <alignment horizontal="left" vertical="center" wrapText="1"/>
    </xf>
    <xf numFmtId="0" fontId="9" fillId="3" borderId="6" xfId="0" applyFont="1" applyFill="1" applyBorder="1" applyAlignment="1">
      <alignment horizontal="left" vertical="center"/>
    </xf>
    <xf numFmtId="0" fontId="9" fillId="3" borderId="5" xfId="0" applyFont="1" applyFill="1" applyBorder="1" applyAlignment="1">
      <alignment horizontal="left" vertical="center" wrapText="1"/>
    </xf>
    <xf numFmtId="0" fontId="15" fillId="0" borderId="8" xfId="0" applyFont="1" applyBorder="1" applyAlignment="1">
      <alignment horizontal="left" vertical="center"/>
    </xf>
    <xf numFmtId="0" fontId="6" fillId="0" borderId="8" xfId="0" applyFont="1" applyBorder="1" applyAlignment="1">
      <alignment horizontal="left" vertical="center"/>
    </xf>
    <xf numFmtId="0" fontId="5" fillId="0" borderId="8" xfId="0" applyFont="1" applyBorder="1" applyAlignment="1">
      <alignment horizontal="left" vertical="center"/>
    </xf>
    <xf numFmtId="0" fontId="13" fillId="0" borderId="8" xfId="0" applyFont="1" applyBorder="1" applyAlignment="1">
      <alignment horizontal="left" vertical="center"/>
    </xf>
    <xf numFmtId="0" fontId="9" fillId="0" borderId="8" xfId="0" applyFont="1" applyBorder="1" applyAlignment="1">
      <alignment horizontal="left" vertical="center"/>
    </xf>
    <xf numFmtId="0" fontId="9" fillId="3" borderId="7" xfId="0" applyFont="1" applyFill="1" applyBorder="1" applyAlignment="1">
      <alignment horizontal="left" vertical="center" wrapText="1"/>
    </xf>
    <xf numFmtId="164" fontId="15" fillId="0" borderId="9" xfId="0" applyNumberFormat="1" applyFont="1" applyBorder="1" applyAlignment="1">
      <alignment horizontal="left" vertical="center"/>
    </xf>
    <xf numFmtId="164" fontId="3" fillId="0" borderId="9" xfId="0" applyNumberFormat="1" applyFont="1" applyBorder="1" applyAlignment="1">
      <alignment horizontal="left" vertical="center"/>
    </xf>
    <xf numFmtId="164" fontId="13" fillId="0" borderId="9" xfId="0" applyNumberFormat="1" applyFont="1" applyBorder="1" applyAlignment="1">
      <alignment horizontal="left" vertical="center"/>
    </xf>
    <xf numFmtId="0" fontId="13" fillId="0" borderId="3" xfId="0" applyFont="1" applyBorder="1" applyAlignment="1">
      <alignment horizontal="left" vertical="center"/>
    </xf>
    <xf numFmtId="14" fontId="3" fillId="0" borderId="0" xfId="0" applyNumberFormat="1" applyFont="1" applyAlignment="1">
      <alignment horizontal="left" vertical="center"/>
    </xf>
    <xf numFmtId="14" fontId="15" fillId="0" borderId="0" xfId="0" applyNumberFormat="1" applyFont="1" applyAlignment="1">
      <alignment horizontal="left" vertical="center"/>
    </xf>
    <xf numFmtId="0" fontId="9" fillId="0" borderId="0" xfId="0" applyFont="1" applyAlignment="1">
      <alignment horizontal="left" vertical="center"/>
    </xf>
    <xf numFmtId="9" fontId="13" fillId="0" borderId="3" xfId="0" applyNumberFormat="1" applyFont="1" applyBorder="1" applyAlignment="1">
      <alignment horizontal="left" vertical="center"/>
    </xf>
    <xf numFmtId="15" fontId="14" fillId="0" borderId="1" xfId="0" applyNumberFormat="1" applyFont="1" applyBorder="1"/>
    <xf numFmtId="0" fontId="16" fillId="0" borderId="1" xfId="0" applyFont="1" applyBorder="1" applyAlignment="1">
      <alignment horizontal="left" vertical="center" wrapText="1"/>
    </xf>
    <xf numFmtId="0" fontId="17" fillId="0" borderId="1" xfId="0" applyFont="1" applyBorder="1"/>
    <xf numFmtId="0" fontId="12" fillId="0" borderId="8" xfId="0" applyFont="1" applyBorder="1" applyAlignment="1">
      <alignment horizontal="left" vertical="center"/>
    </xf>
    <xf numFmtId="165" fontId="12" fillId="0" borderId="1" xfId="0" applyNumberFormat="1" applyFont="1" applyBorder="1" applyAlignment="1">
      <alignment horizontal="left" vertical="center"/>
    </xf>
    <xf numFmtId="9" fontId="12" fillId="0" borderId="1" xfId="0" applyNumberFormat="1" applyFont="1" applyBorder="1" applyAlignment="1">
      <alignment horizontal="left" vertical="center"/>
    </xf>
    <xf numFmtId="0" fontId="18" fillId="0" borderId="1" xfId="0" applyFont="1" applyBorder="1" applyAlignment="1">
      <alignment vertical="center"/>
    </xf>
    <xf numFmtId="164" fontId="12" fillId="0" borderId="9" xfId="0" applyNumberFormat="1" applyFont="1" applyBorder="1" applyAlignment="1">
      <alignment horizontal="left" vertical="center"/>
    </xf>
    <xf numFmtId="0" fontId="12" fillId="0" borderId="0" xfId="0" applyFont="1" applyAlignment="1">
      <alignment horizontal="left" vertical="center"/>
    </xf>
    <xf numFmtId="0" fontId="19" fillId="0" borderId="8" xfId="0" applyFont="1" applyBorder="1" applyAlignment="1">
      <alignment horizontal="left" vertical="center"/>
    </xf>
    <xf numFmtId="0" fontId="19" fillId="0" borderId="1" xfId="0" applyFont="1" applyBorder="1" applyAlignment="1">
      <alignment horizontal="left" vertical="center"/>
    </xf>
    <xf numFmtId="165" fontId="19" fillId="0" borderId="1" xfId="0" applyNumberFormat="1" applyFont="1" applyBorder="1" applyAlignment="1">
      <alignment horizontal="left" vertical="center"/>
    </xf>
    <xf numFmtId="9" fontId="19" fillId="0" borderId="1" xfId="0" applyNumberFormat="1" applyFont="1" applyBorder="1" applyAlignment="1">
      <alignment horizontal="left" vertical="center"/>
    </xf>
    <xf numFmtId="164" fontId="19" fillId="0" borderId="9" xfId="0" applyNumberFormat="1" applyFont="1" applyBorder="1" applyAlignment="1">
      <alignment horizontal="left" vertical="center"/>
    </xf>
    <xf numFmtId="0" fontId="19" fillId="0" borderId="0" xfId="0" applyFont="1" applyAlignment="1">
      <alignment horizontal="left" vertical="center"/>
    </xf>
    <xf numFmtId="15" fontId="3" fillId="0" borderId="1" xfId="0" applyNumberFormat="1" applyFont="1" applyBorder="1" applyAlignment="1">
      <alignment horizontal="left" vertical="center"/>
    </xf>
    <xf numFmtId="164" fontId="3" fillId="0" borderId="4" xfId="0" applyNumberFormat="1" applyFont="1" applyBorder="1" applyAlignment="1">
      <alignment horizontal="left" vertical="center"/>
    </xf>
    <xf numFmtId="0" fontId="15" fillId="0" borderId="0" xfId="0" applyFont="1" applyAlignment="1">
      <alignment horizontal="left" vertical="center"/>
    </xf>
    <xf numFmtId="0" fontId="9" fillId="0" borderId="1" xfId="0" applyFont="1" applyBorder="1" applyAlignment="1">
      <alignment horizontal="left" vertical="center" wrapText="1"/>
    </xf>
    <xf numFmtId="165" fontId="0" fillId="0" borderId="1" xfId="0" applyNumberFormat="1" applyBorder="1" applyAlignment="1">
      <alignment horizontal="left"/>
    </xf>
    <xf numFmtId="0" fontId="0" fillId="0" borderId="0" xfId="0" applyAlignment="1">
      <alignment horizontal="left"/>
    </xf>
    <xf numFmtId="0" fontId="13" fillId="0" borderId="1" xfId="0" applyFont="1" applyBorder="1" applyAlignment="1">
      <alignment horizontal="left" vertical="center" wrapText="1"/>
    </xf>
    <xf numFmtId="0" fontId="5" fillId="0" borderId="3" xfId="0" applyFont="1" applyBorder="1" applyAlignment="1">
      <alignment horizontal="left" vertical="center"/>
    </xf>
    <xf numFmtId="15" fontId="0" fillId="0" borderId="1" xfId="0" applyNumberFormat="1" applyBorder="1" applyAlignment="1">
      <alignment horizontal="left" vertical="center"/>
    </xf>
    <xf numFmtId="0" fontId="0" fillId="5" borderId="1" xfId="0" applyFill="1" applyBorder="1"/>
    <xf numFmtId="0" fontId="2" fillId="5" borderId="1" xfId="0" applyFont="1" applyFill="1" applyBorder="1" applyAlignment="1">
      <alignment horizontal="left"/>
    </xf>
    <xf numFmtId="0" fontId="2" fillId="5" borderId="1" xfId="0" applyFont="1" applyFill="1" applyBorder="1"/>
    <xf numFmtId="0" fontId="12" fillId="0" borderId="1" xfId="0" applyFont="1" applyBorder="1" applyAlignment="1">
      <alignment horizontal="left" vertical="center" wrapText="1"/>
    </xf>
    <xf numFmtId="14" fontId="12" fillId="0" borderId="1" xfId="0" applyNumberFormat="1" applyFont="1" applyBorder="1" applyAlignment="1">
      <alignment horizontal="left" vertical="center"/>
    </xf>
    <xf numFmtId="0" fontId="12" fillId="0" borderId="0" xfId="0" applyFont="1"/>
    <xf numFmtId="0" fontId="19" fillId="0" borderId="2" xfId="0" applyFont="1" applyBorder="1" applyAlignment="1">
      <alignment horizontal="left" vertical="center"/>
    </xf>
    <xf numFmtId="0" fontId="19" fillId="0" borderId="3" xfId="0" applyFont="1" applyBorder="1" applyAlignment="1">
      <alignment horizontal="left" vertical="center"/>
    </xf>
    <xf numFmtId="165" fontId="19" fillId="0" borderId="3" xfId="0" applyNumberFormat="1" applyFont="1" applyBorder="1" applyAlignment="1">
      <alignment horizontal="left" vertical="center"/>
    </xf>
    <xf numFmtId="9" fontId="19" fillId="0" borderId="3" xfId="0" applyNumberFormat="1" applyFont="1" applyBorder="1" applyAlignment="1">
      <alignment horizontal="left" vertical="center"/>
    </xf>
    <xf numFmtId="164" fontId="19" fillId="0" borderId="4" xfId="0" applyNumberFormat="1" applyFont="1" applyBorder="1" applyAlignment="1">
      <alignment horizontal="left" vertical="center"/>
    </xf>
    <xf numFmtId="14" fontId="19" fillId="0" borderId="1" xfId="0" applyNumberFormat="1" applyFont="1" applyBorder="1" applyAlignment="1">
      <alignment horizontal="left" vertical="center"/>
    </xf>
    <xf numFmtId="14" fontId="0" fillId="0" borderId="3" xfId="0" applyNumberFormat="1" applyBorder="1" applyAlignment="1">
      <alignment horizontal="left" vertical="center"/>
    </xf>
    <xf numFmtId="0" fontId="20" fillId="0" borderId="3" xfId="0" applyFont="1" applyBorder="1" applyAlignment="1">
      <alignment horizontal="left" vertical="center"/>
    </xf>
    <xf numFmtId="164" fontId="0" fillId="0" borderId="4" xfId="0" applyNumberFormat="1" applyBorder="1" applyAlignment="1">
      <alignment horizontal="left" vertical="center"/>
    </xf>
    <xf numFmtId="0" fontId="21" fillId="0" borderId="8" xfId="0" applyFont="1" applyBorder="1" applyAlignment="1">
      <alignment horizontal="left" vertical="center"/>
    </xf>
    <xf numFmtId="0" fontId="21" fillId="0" borderId="1" xfId="0" applyFont="1" applyBorder="1" applyAlignment="1">
      <alignment horizontal="left" vertical="center"/>
    </xf>
    <xf numFmtId="165" fontId="21" fillId="0" borderId="1" xfId="0" applyNumberFormat="1" applyFont="1" applyBorder="1" applyAlignment="1">
      <alignment horizontal="left" vertical="center"/>
    </xf>
    <xf numFmtId="9" fontId="21" fillId="0" borderId="1" xfId="0" applyNumberFormat="1" applyFont="1" applyBorder="1" applyAlignment="1">
      <alignment horizontal="left" vertical="center"/>
    </xf>
    <xf numFmtId="164" fontId="21" fillId="0" borderId="9" xfId="0" applyNumberFormat="1" applyFont="1" applyBorder="1" applyAlignment="1">
      <alignment horizontal="left" vertical="center"/>
    </xf>
    <xf numFmtId="0" fontId="21" fillId="0" borderId="0" xfId="0" applyFont="1"/>
    <xf numFmtId="14" fontId="21" fillId="0" borderId="1" xfId="0" applyNumberFormat="1" applyFont="1" applyBorder="1" applyAlignment="1">
      <alignment horizontal="left" vertical="center"/>
    </xf>
    <xf numFmtId="14" fontId="0" fillId="0" borderId="1" xfId="0" applyNumberFormat="1" applyBorder="1" applyAlignment="1">
      <alignment horizontal="left" vertical="center"/>
    </xf>
    <xf numFmtId="0" fontId="22" fillId="0" borderId="2" xfId="0" applyFont="1" applyBorder="1" applyAlignment="1">
      <alignment horizontal="left" vertical="center"/>
    </xf>
    <xf numFmtId="0" fontId="14" fillId="0" borderId="0" xfId="0" applyFont="1"/>
    <xf numFmtId="0" fontId="23" fillId="0" borderId="2" xfId="0" applyFont="1" applyBorder="1" applyAlignment="1">
      <alignment horizontal="left" vertical="center"/>
    </xf>
    <xf numFmtId="0" fontId="24" fillId="0" borderId="2" xfId="0" applyFont="1" applyBorder="1" applyAlignment="1">
      <alignment horizontal="left" vertical="center"/>
    </xf>
    <xf numFmtId="0" fontId="6" fillId="0" borderId="3" xfId="0" applyFont="1" applyBorder="1" applyAlignment="1">
      <alignment horizontal="left" vertical="center"/>
    </xf>
    <xf numFmtId="165" fontId="6" fillId="0" borderId="3" xfId="0" applyNumberFormat="1" applyFont="1" applyBorder="1" applyAlignment="1">
      <alignment horizontal="left" vertical="center"/>
    </xf>
    <xf numFmtId="9" fontId="6" fillId="0" borderId="3" xfId="0" applyNumberFormat="1" applyFont="1" applyBorder="1" applyAlignment="1">
      <alignment horizontal="left" vertical="center"/>
    </xf>
    <xf numFmtId="0" fontId="25" fillId="0" borderId="3" xfId="0" applyFont="1" applyBorder="1" applyAlignment="1">
      <alignment horizontal="left" vertical="center"/>
    </xf>
    <xf numFmtId="164" fontId="6" fillId="0" borderId="4" xfId="0" applyNumberFormat="1" applyFont="1" applyBorder="1" applyAlignment="1">
      <alignment horizontal="left" vertical="center"/>
    </xf>
    <xf numFmtId="0" fontId="6" fillId="0" borderId="0" xfId="0" applyFont="1" applyAlignment="1">
      <alignment horizontal="left" vertical="center"/>
    </xf>
    <xf numFmtId="0" fontId="6" fillId="0" borderId="2" xfId="0" applyFont="1" applyBorder="1" applyAlignment="1">
      <alignment horizontal="left" vertical="center"/>
    </xf>
    <xf numFmtId="14" fontId="6" fillId="0" borderId="3" xfId="0" applyNumberFormat="1" applyFont="1" applyBorder="1" applyAlignment="1">
      <alignment horizontal="left" vertical="center"/>
    </xf>
    <xf numFmtId="0" fontId="24" fillId="0" borderId="3" xfId="0" applyFont="1" applyBorder="1" applyAlignment="1">
      <alignment horizontal="left" vertical="center"/>
    </xf>
    <xf numFmtId="0" fontId="26" fillId="0" borderId="0" xfId="0" applyFont="1"/>
    <xf numFmtId="0" fontId="9" fillId="0" borderId="0" xfId="0" applyFont="1" applyAlignment="1">
      <alignment horizontal="left" vertical="center" wrapText="1"/>
    </xf>
    <xf numFmtId="0" fontId="2" fillId="0" borderId="0" xfId="0" applyFont="1" applyAlignment="1">
      <alignment horizontal="left"/>
    </xf>
    <xf numFmtId="0" fontId="1" fillId="3" borderId="1" xfId="0" applyFont="1" applyFill="1" applyBorder="1"/>
    <xf numFmtId="0" fontId="27" fillId="0" borderId="1" xfId="0" applyFont="1" applyBorder="1" applyAlignment="1">
      <alignment horizontal="left" vertical="center"/>
    </xf>
    <xf numFmtId="164" fontId="5" fillId="0" borderId="1" xfId="0" applyNumberFormat="1" applyFont="1" applyBorder="1" applyAlignment="1">
      <alignment horizontal="left" vertical="center"/>
    </xf>
    <xf numFmtId="0" fontId="27" fillId="0" borderId="1" xfId="0" applyFont="1" applyBorder="1"/>
    <xf numFmtId="0" fontId="0" fillId="0" borderId="1" xfId="0" applyBorder="1" applyAlignment="1">
      <alignment wrapText="1"/>
    </xf>
    <xf numFmtId="0" fontId="27" fillId="0" borderId="10" xfId="0" applyFont="1" applyBorder="1"/>
    <xf numFmtId="0" fontId="0" fillId="4" borderId="1" xfId="0" applyFill="1" applyBorder="1" applyAlignment="1">
      <alignment vertical="top" wrapText="1"/>
    </xf>
    <xf numFmtId="166" fontId="0" fillId="0" borderId="1" xfId="0" applyNumberFormat="1" applyBorder="1" applyAlignment="1">
      <alignment horizontal="left"/>
    </xf>
    <xf numFmtId="166" fontId="2" fillId="5" borderId="1" xfId="0" applyNumberFormat="1" applyFont="1" applyFill="1" applyBorder="1" applyAlignment="1">
      <alignment horizontal="left"/>
    </xf>
    <xf numFmtId="166" fontId="2" fillId="0" borderId="1" xfId="0" applyNumberFormat="1" applyFont="1" applyBorder="1" applyAlignment="1">
      <alignment horizontal="left"/>
    </xf>
    <xf numFmtId="166" fontId="14" fillId="0" borderId="1" xfId="0" applyNumberFormat="1" applyFont="1" applyBorder="1" applyAlignment="1">
      <alignment horizontal="left"/>
    </xf>
    <xf numFmtId="166" fontId="11" fillId="0" borderId="1" xfId="0" applyNumberFormat="1" applyFont="1" applyBorder="1" applyAlignment="1">
      <alignment horizontal="left"/>
    </xf>
    <xf numFmtId="166" fontId="0" fillId="0" borderId="0" xfId="0" applyNumberFormat="1" applyAlignment="1">
      <alignment horizontal="left"/>
    </xf>
    <xf numFmtId="0" fontId="0" fillId="0" borderId="8" xfId="0" applyNumberFormat="1" applyBorder="1"/>
    <xf numFmtId="0" fontId="0" fillId="0" borderId="2" xfId="0" applyNumberFormat="1" applyBorder="1"/>
  </cellXfs>
  <cellStyles count="1">
    <cellStyle name="Normal" xfId="0" builtinId="0"/>
  </cellStyles>
  <dxfs count="28">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numFmt numFmtId="19" formatCode="m/d/yyyy"/>
      <border diagonalUp="0" diagonalDown="0">
        <left style="thin">
          <color rgb="FF000000"/>
        </left>
        <right style="thin">
          <color rgb="FF000000"/>
        </right>
        <top style="thin">
          <color rgb="FF000000"/>
        </top>
        <bottom style="thin">
          <color rgb="FF000000"/>
        </bottom>
        <vertical/>
        <horizontal/>
      </border>
    </dxf>
    <dxf>
      <numFmt numFmtId="0" formatCode="General"/>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8"/>
        <name val="Calibri"/>
        <family val="2"/>
        <scheme val="minor"/>
      </font>
      <numFmt numFmtId="164" formatCode="0.000%"/>
      <alignment horizontal="left" vertical="center"/>
      <border>
        <left style="thin">
          <color rgb="FF000000"/>
        </left>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9"/>
        <name val="Calibri"/>
        <family val="2"/>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409]d\-mmm\-yy;@"/>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65" formatCode="[$-409]d\-mmm\-yy;@"/>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font>
        <b val="0"/>
        <i val="0"/>
        <strike val="0"/>
        <condense val="0"/>
        <extend val="0"/>
        <outline val="0"/>
        <shadow val="0"/>
        <u val="none"/>
        <vertAlign val="baseline"/>
        <sz val="11"/>
        <color auto="1"/>
        <name val="Calibri"/>
        <family val="2"/>
        <scheme val="minor"/>
      </font>
      <fill>
        <patternFill patternType="solid">
          <fgColor indexed="64"/>
          <bgColor theme="2"/>
        </patternFill>
      </fill>
      <alignment horizontal="left"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E2390C-E8C4-48DB-9AAB-B0D0E069E375}" name="AllProjects" displayName="AllProjects" ref="A1:O277" totalsRowShown="0" headerRowDxfId="27" dataDxfId="26" headerRowBorderDxfId="24" tableBorderDxfId="25" totalsRowBorderDxfId="23">
  <autoFilter ref="A1:O277" xr:uid="{00000000-0001-0000-0100-000000000000}"/>
  <sortState xmlns:xlrd2="http://schemas.microsoft.com/office/spreadsheetml/2017/richdata2" ref="A2:O168">
    <sortCondition ref="A1:A168"/>
  </sortState>
  <tableColumns count="15">
    <tableColumn id="1" xr3:uid="{E3CEA29B-264A-401A-9428-E694199A763F}" name="ProjectID" dataDxfId="22"/>
    <tableColumn id="2" xr3:uid="{9EC215A2-6FD8-4840-A832-85B1E01FA6A4}" name="Activities" dataDxfId="21"/>
    <tableColumn id="3" xr3:uid="{591102D6-205F-4F29-A5F9-F6C01455E43E}" name="Owner" dataDxfId="20"/>
    <tableColumn id="4" xr3:uid="{EED1ADF8-D473-4080-AF4C-182054B9C8B9}" name="App.Engg" dataDxfId="19"/>
    <tableColumn id="5" xr3:uid="{8F6391B7-878D-4FAD-8D51-9228FF3EAFD9}" name="Start Date" dataDxfId="18"/>
    <tableColumn id="6" xr3:uid="{022C0B33-573F-4D89-B3A7-FA693CDD84E9}" name="End Date" dataDxfId="17"/>
    <tableColumn id="7" xr3:uid="{86615BB2-DEA4-46FA-A81C-98CC1F72B570}" name="Activity status" dataDxfId="16"/>
    <tableColumn id="8" xr3:uid="{175BB47E-5CBC-48BE-A891-D5B82D6596B1}" name="Weightage" dataDxfId="15"/>
    <tableColumn id="9" xr3:uid="{37ED70BF-15D8-4D13-8E5B-00EB1BB4F01A}" name="Progress Status" dataDxfId="14"/>
    <tableColumn id="10" xr3:uid="{D995D50F-0F55-4278-9FC9-0DB72D05BD9F}" name="%Complete" dataDxfId="13"/>
    <tableColumn id="11" xr3:uid="{629F6467-2CD4-41DB-B86E-66246037DC9C}" name="Dependency" dataDxfId="12"/>
    <tableColumn id="12" xr3:uid="{0FAB0CEC-BB18-49A0-8497-0E3CFD7B9AC4}" name="Dependency owner" dataDxfId="11"/>
    <tableColumn id="13" xr3:uid="{D88D5F9C-A6CE-490B-9934-8E1C6526FB5B}" name="Dependency status" dataDxfId="10"/>
    <tableColumn id="14" xr3:uid="{37498B34-D45D-4549-BCDF-82FFBB4BC014}" name="Dependency complition date" dataDxfId="9"/>
    <tableColumn id="15" xr3:uid="{7E69052A-BB08-466C-A961-BC8B29D18BDB}" name="W%complition" dataDxfId="8">
      <calculatedColumnFormula>H2*J2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5E05BB-1E20-49D7-B79B-0F6501ECD992}" name="ActivityStatus" displayName="ActivityStatus" ref="A1:D1156" totalsRowShown="0" headerRowDxfId="7" headerRowBorderDxfId="5" tableBorderDxfId="6" totalsRowBorderDxfId="4">
  <autoFilter ref="A1:D1156" xr:uid="{1F5E05BB-1E20-49D7-B79B-0F6501ECD992}"/>
  <tableColumns count="4">
    <tableColumn id="1" xr3:uid="{FF5A25C3-DF35-4529-BEDA-7CE3FAED8709}" name="Sl No" dataDxfId="3">
      <calculatedColumnFormula>IF(B2="","",ROW(A1))</calculatedColumnFormula>
    </tableColumn>
    <tableColumn id="2" xr3:uid="{0D256C05-BFA9-4AF2-B6C0-8D585C4F8AC2}" name="Date" dataDxfId="2"/>
    <tableColumn id="3" xr3:uid="{93A01C64-B082-45CB-AA70-352323501119}" name="Activity Status" dataDxfId="1"/>
    <tableColumn id="4" xr3:uid="{373BDA4F-773B-435E-86D9-B5A1BB85F5EB}" name="Status C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77"/>
  <sheetViews>
    <sheetView zoomScale="110" zoomScaleNormal="110" workbookViewId="0">
      <selection activeCell="B286" sqref="B286"/>
    </sheetView>
  </sheetViews>
  <sheetFormatPr defaultRowHeight="24.75" customHeight="1"/>
  <cols>
    <col min="1" max="1" width="11.7109375" style="62" bestFit="1" customWidth="1"/>
    <col min="2" max="2" width="85.5703125" style="62" bestFit="1" customWidth="1"/>
    <col min="3" max="3" width="12.28515625" style="62" bestFit="1" customWidth="1"/>
    <col min="4" max="4" width="22" style="62" customWidth="1"/>
    <col min="5" max="5" width="12.42578125" style="79" bestFit="1" customWidth="1"/>
    <col min="6" max="6" width="11.42578125" style="79" bestFit="1" customWidth="1"/>
    <col min="7" max="7" width="16.28515625" style="62" bestFit="1" customWidth="1"/>
    <col min="8" max="8" width="13" style="62" bestFit="1" customWidth="1"/>
    <col min="9" max="9" width="20.5703125" style="62" bestFit="1" customWidth="1"/>
    <col min="10" max="10" width="13.5703125" style="62" bestFit="1" customWidth="1"/>
    <col min="11" max="11" width="59.42578125" style="62" bestFit="1" customWidth="1"/>
    <col min="12" max="12" width="40.7109375" style="62" bestFit="1" customWidth="1"/>
    <col min="13" max="13" width="20.7109375" style="62" bestFit="1" customWidth="1"/>
    <col min="14" max="14" width="29.7109375" style="62" bestFit="1" customWidth="1"/>
    <col min="15" max="15" width="16.5703125" style="62" bestFit="1" customWidth="1"/>
    <col min="16" max="16" width="17" style="62" bestFit="1" customWidth="1"/>
    <col min="17" max="16384" width="9.140625" style="62"/>
  </cols>
  <sheetData>
    <row r="1" spans="1:15" ht="24.75" customHeight="1">
      <c r="A1" s="83" t="s">
        <v>0</v>
      </c>
      <c r="B1" s="81" t="s">
        <v>1</v>
      </c>
      <c r="C1" s="81" t="s">
        <v>2</v>
      </c>
      <c r="D1" s="81" t="s">
        <v>3</v>
      </c>
      <c r="E1" s="81" t="s">
        <v>4</v>
      </c>
      <c r="F1" s="81" t="s">
        <v>5</v>
      </c>
      <c r="G1" s="82" t="s">
        <v>6</v>
      </c>
      <c r="H1" s="81" t="s">
        <v>7</v>
      </c>
      <c r="I1" s="81" t="s">
        <v>8</v>
      </c>
      <c r="J1" s="81" t="s">
        <v>9</v>
      </c>
      <c r="K1" s="81" t="s">
        <v>10</v>
      </c>
      <c r="L1" s="81" t="s">
        <v>11</v>
      </c>
      <c r="M1" s="81" t="s">
        <v>12</v>
      </c>
      <c r="N1" s="81" t="s">
        <v>13</v>
      </c>
      <c r="O1" s="89" t="s">
        <v>14</v>
      </c>
    </row>
    <row r="2" spans="1:15" s="73" customFormat="1" ht="24.75" customHeight="1">
      <c r="A2" s="84" t="s">
        <v>15</v>
      </c>
      <c r="B2" s="65" t="s">
        <v>16</v>
      </c>
      <c r="C2" s="65" t="s">
        <v>17</v>
      </c>
      <c r="D2" s="65" t="s">
        <v>18</v>
      </c>
      <c r="E2" s="68">
        <v>45555</v>
      </c>
      <c r="F2" s="68">
        <v>45606</v>
      </c>
      <c r="G2" s="65" t="s">
        <v>19</v>
      </c>
      <c r="H2" s="70">
        <v>0.05</v>
      </c>
      <c r="I2" s="65" t="s">
        <v>20</v>
      </c>
      <c r="J2" s="70">
        <v>1</v>
      </c>
      <c r="K2" s="65" t="s">
        <v>21</v>
      </c>
      <c r="L2" s="65" t="s">
        <v>22</v>
      </c>
      <c r="M2" s="65" t="s">
        <v>23</v>
      </c>
      <c r="N2" s="69">
        <v>45515</v>
      </c>
      <c r="O2" s="90">
        <f>H2*J2</f>
        <v>0.05</v>
      </c>
    </row>
    <row r="3" spans="1:15" s="74" customFormat="1" ht="24.75" customHeight="1">
      <c r="A3" s="58" t="s">
        <v>15</v>
      </c>
      <c r="B3" s="19" t="s">
        <v>24</v>
      </c>
      <c r="C3" s="19" t="s">
        <v>25</v>
      </c>
      <c r="D3" s="19" t="s">
        <v>18</v>
      </c>
      <c r="E3" s="20">
        <v>45581</v>
      </c>
      <c r="F3" s="20">
        <v>45583</v>
      </c>
      <c r="G3" s="19" t="s">
        <v>26</v>
      </c>
      <c r="H3" s="21">
        <v>0.1</v>
      </c>
      <c r="I3" s="19" t="s">
        <v>27</v>
      </c>
      <c r="J3" s="21">
        <v>0.01</v>
      </c>
      <c r="K3" s="19"/>
      <c r="L3" s="19"/>
      <c r="M3" s="19"/>
      <c r="N3" s="19"/>
      <c r="O3" s="59">
        <f>H3*J3</f>
        <v>1E-3</v>
      </c>
    </row>
    <row r="4" spans="1:15" s="75" customFormat="1" ht="24.75" customHeight="1">
      <c r="A4" s="84" t="s">
        <v>15</v>
      </c>
      <c r="B4" s="65" t="s">
        <v>28</v>
      </c>
      <c r="C4" s="65" t="s">
        <v>17</v>
      </c>
      <c r="D4" s="65" t="s">
        <v>18</v>
      </c>
      <c r="E4" s="68">
        <v>45555</v>
      </c>
      <c r="F4" s="68">
        <v>45606</v>
      </c>
      <c r="G4" s="65" t="s">
        <v>19</v>
      </c>
      <c r="H4" s="70">
        <v>0.1</v>
      </c>
      <c r="I4" s="65" t="s">
        <v>20</v>
      </c>
      <c r="J4" s="70">
        <v>1</v>
      </c>
      <c r="K4" s="65" t="s">
        <v>21</v>
      </c>
      <c r="L4" s="65" t="s">
        <v>22</v>
      </c>
      <c r="M4" s="65" t="s">
        <v>23</v>
      </c>
      <c r="N4" s="69">
        <v>45515</v>
      </c>
      <c r="O4" s="90">
        <f>H4*J4</f>
        <v>0.1</v>
      </c>
    </row>
    <row r="5" spans="1:15" s="73" customFormat="1" ht="24.75" customHeight="1">
      <c r="A5" s="84" t="s">
        <v>15</v>
      </c>
      <c r="B5" s="66" t="s">
        <v>29</v>
      </c>
      <c r="C5" s="66" t="s">
        <v>17</v>
      </c>
      <c r="D5" s="65" t="s">
        <v>18</v>
      </c>
      <c r="E5" s="68">
        <v>45551</v>
      </c>
      <c r="F5" s="68">
        <v>45606</v>
      </c>
      <c r="G5" s="65" t="s">
        <v>19</v>
      </c>
      <c r="H5" s="70">
        <v>0.05</v>
      </c>
      <c r="I5" s="65" t="s">
        <v>20</v>
      </c>
      <c r="J5" s="70">
        <v>1</v>
      </c>
      <c r="K5" s="65" t="s">
        <v>30</v>
      </c>
      <c r="L5" s="65" t="s">
        <v>31</v>
      </c>
      <c r="M5" s="65" t="s">
        <v>23</v>
      </c>
      <c r="N5" s="69">
        <v>45515</v>
      </c>
      <c r="O5" s="90">
        <f>H5*J5</f>
        <v>0.05</v>
      </c>
    </row>
    <row r="6" spans="1:15" s="76" customFormat="1" ht="24.75" customHeight="1">
      <c r="A6" s="84" t="s">
        <v>15</v>
      </c>
      <c r="B6" s="65" t="s">
        <v>32</v>
      </c>
      <c r="C6" s="65" t="s">
        <v>17</v>
      </c>
      <c r="D6" s="65" t="s">
        <v>18</v>
      </c>
      <c r="E6" s="68">
        <v>45587</v>
      </c>
      <c r="F6" s="68">
        <v>45589</v>
      </c>
      <c r="G6" s="65" t="s">
        <v>19</v>
      </c>
      <c r="H6" s="70">
        <v>0.05</v>
      </c>
      <c r="I6" s="65" t="s">
        <v>20</v>
      </c>
      <c r="J6" s="70">
        <v>1</v>
      </c>
      <c r="K6" s="65" t="s">
        <v>30</v>
      </c>
      <c r="L6" s="65" t="s">
        <v>31</v>
      </c>
      <c r="M6" s="65" t="s">
        <v>23</v>
      </c>
      <c r="N6" s="69">
        <v>45515</v>
      </c>
      <c r="O6" s="90">
        <f>H6*J6</f>
        <v>0.05</v>
      </c>
    </row>
    <row r="7" spans="1:15" s="77" customFormat="1" ht="24.75" customHeight="1">
      <c r="A7" s="84" t="s">
        <v>15</v>
      </c>
      <c r="B7" s="65" t="s">
        <v>33</v>
      </c>
      <c r="C7" s="65" t="s">
        <v>17</v>
      </c>
      <c r="D7" s="65" t="s">
        <v>18</v>
      </c>
      <c r="E7" s="68">
        <v>45590</v>
      </c>
      <c r="F7" s="68">
        <v>45592</v>
      </c>
      <c r="G7" s="65" t="s">
        <v>19</v>
      </c>
      <c r="H7" s="70">
        <v>0.05</v>
      </c>
      <c r="I7" s="65" t="s">
        <v>20</v>
      </c>
      <c r="J7" s="70">
        <v>1</v>
      </c>
      <c r="K7" s="65" t="s">
        <v>30</v>
      </c>
      <c r="L7" s="65" t="s">
        <v>31</v>
      </c>
      <c r="M7" s="65" t="s">
        <v>23</v>
      </c>
      <c r="N7" s="69">
        <v>45515</v>
      </c>
      <c r="O7" s="90">
        <f>H7*J7</f>
        <v>0.05</v>
      </c>
    </row>
    <row r="8" spans="1:15" s="77" customFormat="1" ht="24.75" customHeight="1">
      <c r="A8" s="84" t="s">
        <v>15</v>
      </c>
      <c r="B8" s="66" t="s">
        <v>34</v>
      </c>
      <c r="C8" s="66" t="s">
        <v>17</v>
      </c>
      <c r="D8" s="65" t="s">
        <v>18</v>
      </c>
      <c r="E8" s="68">
        <v>45562</v>
      </c>
      <c r="F8" s="68" t="s">
        <v>35</v>
      </c>
      <c r="G8" s="65" t="s">
        <v>19</v>
      </c>
      <c r="H8" s="70">
        <v>0.05</v>
      </c>
      <c r="I8" s="65" t="s">
        <v>20</v>
      </c>
      <c r="J8" s="70">
        <v>1</v>
      </c>
      <c r="K8" s="65" t="s">
        <v>21</v>
      </c>
      <c r="L8" s="65" t="s">
        <v>22</v>
      </c>
      <c r="M8" s="65" t="s">
        <v>23</v>
      </c>
      <c r="N8" s="69">
        <v>45515</v>
      </c>
      <c r="O8" s="90">
        <f>H8*J8</f>
        <v>0.05</v>
      </c>
    </row>
    <row r="9" spans="1:15" s="73" customFormat="1" ht="24.75" customHeight="1">
      <c r="A9" s="84" t="s">
        <v>15</v>
      </c>
      <c r="B9" s="72" t="s">
        <v>36</v>
      </c>
      <c r="C9" s="65" t="s">
        <v>17</v>
      </c>
      <c r="D9" s="65" t="s">
        <v>18</v>
      </c>
      <c r="E9" s="68">
        <v>45581</v>
      </c>
      <c r="F9" s="68">
        <v>45595</v>
      </c>
      <c r="G9" s="65" t="s">
        <v>19</v>
      </c>
      <c r="H9" s="70">
        <v>0.05</v>
      </c>
      <c r="I9" s="65" t="s">
        <v>20</v>
      </c>
      <c r="J9" s="70">
        <v>1</v>
      </c>
      <c r="K9" s="65" t="s">
        <v>37</v>
      </c>
      <c r="L9" s="65" t="s">
        <v>38</v>
      </c>
      <c r="M9" s="65" t="s">
        <v>23</v>
      </c>
      <c r="N9" s="69">
        <v>45515</v>
      </c>
      <c r="O9" s="90">
        <f>H9*J9</f>
        <v>0.05</v>
      </c>
    </row>
    <row r="10" spans="1:15" s="77" customFormat="1" ht="24.75" customHeight="1">
      <c r="A10" s="58" t="s">
        <v>15</v>
      </c>
      <c r="B10" s="19" t="s">
        <v>39</v>
      </c>
      <c r="C10" s="19" t="s">
        <v>40</v>
      </c>
      <c r="D10" s="19" t="s">
        <v>18</v>
      </c>
      <c r="E10" s="20">
        <v>45576</v>
      </c>
      <c r="F10" s="20">
        <v>45582</v>
      </c>
      <c r="G10" s="19" t="s">
        <v>26</v>
      </c>
      <c r="H10" s="21">
        <v>0.05</v>
      </c>
      <c r="I10" s="19" t="s">
        <v>27</v>
      </c>
      <c r="J10" s="21">
        <v>0.01</v>
      </c>
      <c r="K10" s="19"/>
      <c r="L10" s="19"/>
      <c r="M10" s="19"/>
      <c r="N10" s="19"/>
      <c r="O10" s="59">
        <f>H10*J10</f>
        <v>5.0000000000000001E-4</v>
      </c>
    </row>
    <row r="11" spans="1:15" customFormat="1" ht="24.75" customHeight="1">
      <c r="A11" s="58" t="s">
        <v>15</v>
      </c>
      <c r="B11" s="19" t="s">
        <v>41</v>
      </c>
      <c r="C11" s="19" t="s">
        <v>40</v>
      </c>
      <c r="D11" s="19" t="s">
        <v>18</v>
      </c>
      <c r="E11" s="20">
        <v>45576</v>
      </c>
      <c r="F11" s="20">
        <v>45582</v>
      </c>
      <c r="G11" s="19" t="s">
        <v>26</v>
      </c>
      <c r="H11" s="21">
        <v>0.05</v>
      </c>
      <c r="I11" s="19" t="s">
        <v>27</v>
      </c>
      <c r="J11" s="21">
        <v>0.01</v>
      </c>
      <c r="K11" s="19"/>
      <c r="L11" s="19"/>
      <c r="M11" s="19"/>
      <c r="N11" s="19"/>
      <c r="O11" s="59">
        <f>H11*J11</f>
        <v>5.0000000000000001E-4</v>
      </c>
    </row>
    <row r="12" spans="1:15" customFormat="1" ht="24.75" customHeight="1">
      <c r="A12" s="58" t="s">
        <v>15</v>
      </c>
      <c r="B12" s="19" t="s">
        <v>42</v>
      </c>
      <c r="C12" s="19" t="s">
        <v>31</v>
      </c>
      <c r="D12" s="19" t="s">
        <v>18</v>
      </c>
      <c r="E12" s="20">
        <v>45614</v>
      </c>
      <c r="F12" s="35">
        <v>45619</v>
      </c>
      <c r="G12" s="19" t="s">
        <v>26</v>
      </c>
      <c r="H12" s="21">
        <v>0.05</v>
      </c>
      <c r="I12" s="19" t="s">
        <v>27</v>
      </c>
      <c r="J12" s="21">
        <v>0.01</v>
      </c>
      <c r="K12" s="19"/>
      <c r="L12" s="19"/>
      <c r="M12" s="19"/>
      <c r="N12" s="19"/>
      <c r="O12" s="59">
        <f>H12*J12</f>
        <v>5.0000000000000001E-4</v>
      </c>
    </row>
    <row r="13" spans="1:15" customFormat="1" ht="24.75" customHeight="1">
      <c r="A13" s="86" t="s">
        <v>15</v>
      </c>
      <c r="B13" s="22" t="s">
        <v>43</v>
      </c>
      <c r="C13" s="22" t="s">
        <v>44</v>
      </c>
      <c r="D13" s="22" t="s">
        <v>18</v>
      </c>
      <c r="E13" s="23">
        <v>45583</v>
      </c>
      <c r="F13" s="23">
        <v>45588</v>
      </c>
      <c r="G13" s="19" t="s">
        <v>45</v>
      </c>
      <c r="H13" s="24">
        <v>0.05</v>
      </c>
      <c r="I13" s="19" t="s">
        <v>46</v>
      </c>
      <c r="J13" s="24">
        <v>0.5</v>
      </c>
      <c r="K13" s="22" t="s">
        <v>47</v>
      </c>
      <c r="L13" s="22" t="s">
        <v>22</v>
      </c>
      <c r="M13" s="22" t="s">
        <v>23</v>
      </c>
      <c r="N13" s="25">
        <v>45607</v>
      </c>
      <c r="O13" s="59">
        <f>H13*J13</f>
        <v>2.5000000000000001E-2</v>
      </c>
    </row>
    <row r="14" spans="1:15" customFormat="1" ht="15">
      <c r="A14" s="63" t="s">
        <v>15</v>
      </c>
      <c r="B14" s="15" t="s">
        <v>48</v>
      </c>
      <c r="C14" s="15" t="s">
        <v>44</v>
      </c>
      <c r="D14" s="15" t="s">
        <v>18</v>
      </c>
      <c r="E14" s="16">
        <v>45553</v>
      </c>
      <c r="F14" s="16">
        <v>45558</v>
      </c>
      <c r="G14" s="17" t="s">
        <v>23</v>
      </c>
      <c r="H14" s="18">
        <v>0.15</v>
      </c>
      <c r="I14" s="15" t="s">
        <v>20</v>
      </c>
      <c r="J14" s="18">
        <v>1</v>
      </c>
      <c r="K14" s="15"/>
      <c r="L14" s="15"/>
      <c r="M14" s="15"/>
      <c r="N14" s="15"/>
      <c r="O14" s="91">
        <f>H14*J14</f>
        <v>0.15</v>
      </c>
    </row>
    <row r="15" spans="1:15" s="142" customFormat="1" ht="24.75" customHeight="1">
      <c r="A15" s="137" t="s">
        <v>15</v>
      </c>
      <c r="B15" s="138" t="s">
        <v>49</v>
      </c>
      <c r="C15" s="138" t="s">
        <v>44</v>
      </c>
      <c r="D15" s="138" t="s">
        <v>18</v>
      </c>
      <c r="E15" s="139">
        <v>45589</v>
      </c>
      <c r="F15" s="139">
        <v>45591</v>
      </c>
      <c r="G15" s="143" t="s">
        <v>23</v>
      </c>
      <c r="H15" s="140">
        <v>0.15</v>
      </c>
      <c r="I15" s="138" t="s">
        <v>20</v>
      </c>
      <c r="J15" s="140">
        <v>1</v>
      </c>
      <c r="K15" s="138" t="s">
        <v>50</v>
      </c>
      <c r="L15" s="138" t="s">
        <v>38</v>
      </c>
      <c r="M15" s="138" t="s">
        <v>23</v>
      </c>
      <c r="N15" s="138" t="s">
        <v>51</v>
      </c>
      <c r="O15" s="141">
        <f>H15*J15</f>
        <v>0.15</v>
      </c>
    </row>
    <row r="16" spans="1:15" s="75" customFormat="1" ht="24.75" customHeight="1">
      <c r="A16" s="63" t="s">
        <v>52</v>
      </c>
      <c r="B16" s="15" t="s">
        <v>53</v>
      </c>
      <c r="C16" s="15" t="s">
        <v>17</v>
      </c>
      <c r="D16" s="15" t="s">
        <v>54</v>
      </c>
      <c r="E16" s="16">
        <v>45608</v>
      </c>
      <c r="F16" s="16">
        <v>45612</v>
      </c>
      <c r="G16" s="15" t="s">
        <v>23</v>
      </c>
      <c r="H16" s="18">
        <v>0.4</v>
      </c>
      <c r="I16" s="129" t="s">
        <v>20</v>
      </c>
      <c r="J16" s="18">
        <v>1</v>
      </c>
      <c r="K16" s="15" t="s">
        <v>21</v>
      </c>
      <c r="L16" s="15" t="s">
        <v>22</v>
      </c>
      <c r="M16" s="15" t="s">
        <v>23</v>
      </c>
      <c r="N16" s="143">
        <v>45993</v>
      </c>
      <c r="O16" s="91">
        <f>H16*J16</f>
        <v>0.4</v>
      </c>
    </row>
    <row r="17" spans="1:15" s="75" customFormat="1" ht="24.75" customHeight="1">
      <c r="A17" s="58" t="s">
        <v>52</v>
      </c>
      <c r="B17" s="28" t="s">
        <v>55</v>
      </c>
      <c r="C17" s="28" t="s">
        <v>56</v>
      </c>
      <c r="D17" s="15" t="s">
        <v>54</v>
      </c>
      <c r="E17" s="29">
        <v>45618</v>
      </c>
      <c r="F17" s="29">
        <v>45681</v>
      </c>
      <c r="G17" s="15" t="s">
        <v>23</v>
      </c>
      <c r="H17" s="30">
        <v>0.4</v>
      </c>
      <c r="I17" s="129" t="s">
        <v>20</v>
      </c>
      <c r="J17" s="30">
        <v>1</v>
      </c>
      <c r="K17" s="15"/>
      <c r="L17" s="15"/>
      <c r="M17" s="15"/>
      <c r="N17" s="28"/>
      <c r="O17" s="59">
        <f>H17*J17</f>
        <v>0.4</v>
      </c>
    </row>
    <row r="18" spans="1:15" s="75" customFormat="1" ht="24.75" customHeight="1">
      <c r="A18" s="58" t="s">
        <v>52</v>
      </c>
      <c r="B18" s="28" t="s">
        <v>57</v>
      </c>
      <c r="C18" s="19" t="s">
        <v>58</v>
      </c>
      <c r="D18" s="15" t="s">
        <v>54</v>
      </c>
      <c r="E18" s="16">
        <v>45608</v>
      </c>
      <c r="F18" s="29">
        <v>45681</v>
      </c>
      <c r="G18" s="15" t="s">
        <v>23</v>
      </c>
      <c r="H18" s="30">
        <v>0.05</v>
      </c>
      <c r="I18" s="129" t="s">
        <v>20</v>
      </c>
      <c r="J18" s="30">
        <v>1</v>
      </c>
      <c r="K18" s="28"/>
      <c r="L18" s="28"/>
      <c r="M18" s="15"/>
      <c r="N18" s="28"/>
      <c r="O18" s="59">
        <f>H18*J18</f>
        <v>0.05</v>
      </c>
    </row>
    <row r="19" spans="1:15" s="73" customFormat="1" ht="24.75" customHeight="1">
      <c r="A19" s="58" t="s">
        <v>52</v>
      </c>
      <c r="B19" s="28" t="s">
        <v>59</v>
      </c>
      <c r="C19" s="28" t="s">
        <v>31</v>
      </c>
      <c r="D19" s="15" t="s">
        <v>54</v>
      </c>
      <c r="E19" s="16">
        <v>45608</v>
      </c>
      <c r="F19" s="29">
        <v>45681</v>
      </c>
      <c r="G19" s="15" t="s">
        <v>26</v>
      </c>
      <c r="H19" s="30">
        <v>0.05</v>
      </c>
      <c r="I19" s="19" t="s">
        <v>46</v>
      </c>
      <c r="J19" s="30">
        <v>0.9</v>
      </c>
      <c r="K19" s="28"/>
      <c r="L19" s="28"/>
      <c r="M19" s="15"/>
      <c r="N19" s="28"/>
      <c r="O19" s="59">
        <f>H19*J19</f>
        <v>4.5000000000000005E-2</v>
      </c>
    </row>
    <row r="20" spans="1:15" s="73" customFormat="1" ht="24.75" customHeight="1">
      <c r="A20" s="58" t="s">
        <v>60</v>
      </c>
      <c r="B20" s="28" t="s">
        <v>61</v>
      </c>
      <c r="C20" s="28" t="s">
        <v>25</v>
      </c>
      <c r="D20" s="19" t="s">
        <v>25</v>
      </c>
      <c r="E20" s="29">
        <v>45568</v>
      </c>
      <c r="F20" s="29">
        <v>45657</v>
      </c>
      <c r="G20" s="19" t="s">
        <v>26</v>
      </c>
      <c r="H20" s="30">
        <v>0.1</v>
      </c>
      <c r="I20" s="37" t="s">
        <v>46</v>
      </c>
      <c r="J20" s="30">
        <v>1</v>
      </c>
      <c r="K20" s="28"/>
      <c r="L20" s="28"/>
      <c r="M20" s="15"/>
      <c r="N20" s="28"/>
      <c r="O20" s="59">
        <f>H20*J20</f>
        <v>0.1</v>
      </c>
    </row>
    <row r="21" spans="1:15" customFormat="1" ht="24.75" customHeight="1">
      <c r="A21" s="58" t="s">
        <v>62</v>
      </c>
      <c r="B21" s="28" t="s">
        <v>63</v>
      </c>
      <c r="C21" s="28" t="s">
        <v>64</v>
      </c>
      <c r="D21" s="19" t="s">
        <v>65</v>
      </c>
      <c r="E21" s="29">
        <v>45586</v>
      </c>
      <c r="F21" s="29">
        <v>45591</v>
      </c>
      <c r="G21" s="17" t="s">
        <v>23</v>
      </c>
      <c r="H21" s="21">
        <v>0.05</v>
      </c>
      <c r="I21" s="37" t="s">
        <v>20</v>
      </c>
      <c r="J21" s="21">
        <v>1</v>
      </c>
      <c r="K21" s="28"/>
      <c r="L21" s="28"/>
      <c r="M21" s="15"/>
      <c r="N21" s="28"/>
      <c r="O21" s="59">
        <f>H21*J21</f>
        <v>0.05</v>
      </c>
    </row>
    <row r="22" spans="1:15" customFormat="1" ht="24.75" customHeight="1">
      <c r="A22" s="58" t="s">
        <v>62</v>
      </c>
      <c r="B22" s="28" t="s">
        <v>66</v>
      </c>
      <c r="C22" s="28" t="s">
        <v>64</v>
      </c>
      <c r="D22" s="19" t="s">
        <v>65</v>
      </c>
      <c r="E22" s="29">
        <v>45593</v>
      </c>
      <c r="F22" s="29">
        <v>45598</v>
      </c>
      <c r="G22" s="17" t="s">
        <v>23</v>
      </c>
      <c r="H22" s="21">
        <v>0.02</v>
      </c>
      <c r="I22" s="37" t="s">
        <v>20</v>
      </c>
      <c r="J22" s="21">
        <v>1</v>
      </c>
      <c r="K22" s="28"/>
      <c r="L22" s="28"/>
      <c r="M22" s="15"/>
      <c r="N22" s="28"/>
      <c r="O22" s="59">
        <f>H22*J22</f>
        <v>0.02</v>
      </c>
    </row>
    <row r="23" spans="1:15" customFormat="1" ht="24.75" customHeight="1">
      <c r="A23" s="58" t="s">
        <v>62</v>
      </c>
      <c r="B23" s="28" t="s">
        <v>67</v>
      </c>
      <c r="C23" s="28" t="s">
        <v>64</v>
      </c>
      <c r="D23" s="19" t="s">
        <v>65</v>
      </c>
      <c r="E23" s="29">
        <v>45600</v>
      </c>
      <c r="F23" s="29">
        <v>45605</v>
      </c>
      <c r="G23" s="17" t="s">
        <v>23</v>
      </c>
      <c r="H23" s="21">
        <v>0.03</v>
      </c>
      <c r="I23" s="37" t="s">
        <v>20</v>
      </c>
      <c r="J23" s="21">
        <v>1</v>
      </c>
      <c r="K23" s="28"/>
      <c r="L23" s="28"/>
      <c r="M23" s="15"/>
      <c r="N23" s="28"/>
      <c r="O23" s="59">
        <f>H23*J23</f>
        <v>0.03</v>
      </c>
    </row>
    <row r="24" spans="1:15" s="73" customFormat="1" ht="24.75" customHeight="1">
      <c r="A24" s="58" t="s">
        <v>62</v>
      </c>
      <c r="B24" s="28" t="s">
        <v>68</v>
      </c>
      <c r="C24" s="28" t="s">
        <v>64</v>
      </c>
      <c r="D24" s="19" t="s">
        <v>65</v>
      </c>
      <c r="E24" s="29">
        <v>45607</v>
      </c>
      <c r="F24" s="29">
        <v>45612</v>
      </c>
      <c r="G24" s="17" t="s">
        <v>23</v>
      </c>
      <c r="H24" s="21">
        <v>0.02</v>
      </c>
      <c r="I24" s="37" t="s">
        <v>20</v>
      </c>
      <c r="J24" s="21">
        <v>1</v>
      </c>
      <c r="K24" s="28"/>
      <c r="L24" s="28"/>
      <c r="M24" s="15"/>
      <c r="N24" s="28"/>
      <c r="O24" s="59">
        <f>H24*J24</f>
        <v>0.02</v>
      </c>
    </row>
    <row r="25" spans="1:15" s="73" customFormat="1" ht="24.75" customHeight="1">
      <c r="A25" s="58" t="s">
        <v>62</v>
      </c>
      <c r="B25" s="28" t="s">
        <v>69</v>
      </c>
      <c r="C25" s="28" t="s">
        <v>64</v>
      </c>
      <c r="D25" s="19" t="s">
        <v>65</v>
      </c>
      <c r="E25" s="29">
        <v>45608</v>
      </c>
      <c r="F25" s="29">
        <v>45612</v>
      </c>
      <c r="G25" s="17" t="s">
        <v>23</v>
      </c>
      <c r="H25" s="21">
        <v>0.03</v>
      </c>
      <c r="I25" s="37" t="s">
        <v>20</v>
      </c>
      <c r="J25" s="21">
        <v>1</v>
      </c>
      <c r="K25" s="28"/>
      <c r="L25" s="28"/>
      <c r="M25" s="15"/>
      <c r="N25" s="28"/>
      <c r="O25" s="59">
        <f>H25*J25</f>
        <v>0.03</v>
      </c>
    </row>
    <row r="26" spans="1:15" s="75" customFormat="1" ht="24.75" customHeight="1">
      <c r="A26" s="58" t="s">
        <v>62</v>
      </c>
      <c r="B26" s="28" t="s">
        <v>70</v>
      </c>
      <c r="C26" s="28" t="s">
        <v>64</v>
      </c>
      <c r="D26" s="19" t="s">
        <v>65</v>
      </c>
      <c r="E26" s="29">
        <v>45614</v>
      </c>
      <c r="F26" s="29">
        <v>45619</v>
      </c>
      <c r="G26" s="17" t="s">
        <v>23</v>
      </c>
      <c r="H26" s="21">
        <v>0.02</v>
      </c>
      <c r="I26" s="37" t="s">
        <v>20</v>
      </c>
      <c r="J26" s="21">
        <v>1</v>
      </c>
      <c r="K26" s="28"/>
      <c r="L26" s="28"/>
      <c r="M26" s="15"/>
      <c r="N26" s="28"/>
      <c r="O26" s="59">
        <f>H26*J26</f>
        <v>0.02</v>
      </c>
    </row>
    <row r="27" spans="1:15" customFormat="1" ht="24.75" customHeight="1">
      <c r="A27" s="58" t="s">
        <v>62</v>
      </c>
      <c r="B27" s="28" t="s">
        <v>71</v>
      </c>
      <c r="C27" s="28" t="s">
        <v>64</v>
      </c>
      <c r="D27" s="19" t="s">
        <v>65</v>
      </c>
      <c r="E27" s="29">
        <v>45621</v>
      </c>
      <c r="F27" s="29">
        <v>45626</v>
      </c>
      <c r="G27" s="17" t="s">
        <v>23</v>
      </c>
      <c r="H27" s="21">
        <v>0.03</v>
      </c>
      <c r="I27" s="37" t="s">
        <v>20</v>
      </c>
      <c r="J27" s="21">
        <v>1</v>
      </c>
      <c r="K27" s="28"/>
      <c r="L27" s="28"/>
      <c r="M27" s="15"/>
      <c r="N27" s="28"/>
      <c r="O27" s="59">
        <f>H27*J27</f>
        <v>0.03</v>
      </c>
    </row>
    <row r="28" spans="1:15" s="73" customFormat="1" ht="24.75" customHeight="1">
      <c r="A28" s="58" t="s">
        <v>62</v>
      </c>
      <c r="B28" s="28" t="s">
        <v>72</v>
      </c>
      <c r="C28" s="28" t="s">
        <v>64</v>
      </c>
      <c r="D28" s="19" t="s">
        <v>65</v>
      </c>
      <c r="E28" s="29">
        <v>45622</v>
      </c>
      <c r="F28" s="29">
        <v>45626</v>
      </c>
      <c r="G28" s="17" t="s">
        <v>23</v>
      </c>
      <c r="H28" s="21">
        <v>0.02</v>
      </c>
      <c r="I28" s="37" t="s">
        <v>20</v>
      </c>
      <c r="J28" s="21">
        <v>1</v>
      </c>
      <c r="K28" s="28"/>
      <c r="L28" s="28"/>
      <c r="M28" s="15"/>
      <c r="N28" s="28"/>
      <c r="O28" s="59">
        <f>H28*J28</f>
        <v>0.02</v>
      </c>
    </row>
    <row r="29" spans="1:15" customFormat="1" ht="24.75" customHeight="1">
      <c r="A29" s="58" t="s">
        <v>62</v>
      </c>
      <c r="B29" s="28" t="s">
        <v>73</v>
      </c>
      <c r="C29" s="28" t="s">
        <v>64</v>
      </c>
      <c r="D29" s="19" t="s">
        <v>65</v>
      </c>
      <c r="E29" s="29">
        <v>45628</v>
      </c>
      <c r="F29" s="29">
        <v>45633</v>
      </c>
      <c r="G29" s="17" t="s">
        <v>23</v>
      </c>
      <c r="H29" s="21">
        <v>0.03</v>
      </c>
      <c r="I29" s="37" t="s">
        <v>20</v>
      </c>
      <c r="J29" s="21">
        <v>1</v>
      </c>
      <c r="K29" s="28"/>
      <c r="L29" s="28"/>
      <c r="M29" s="15"/>
      <c r="N29" s="28"/>
      <c r="O29" s="59">
        <f>H29*J29</f>
        <v>0.03</v>
      </c>
    </row>
    <row r="30" spans="1:15" s="73" customFormat="1" ht="24.75" customHeight="1">
      <c r="A30" s="58" t="s">
        <v>62</v>
      </c>
      <c r="B30" s="28" t="s">
        <v>74</v>
      </c>
      <c r="C30" s="28" t="s">
        <v>64</v>
      </c>
      <c r="D30" s="19" t="s">
        <v>65</v>
      </c>
      <c r="E30" s="29">
        <v>45635</v>
      </c>
      <c r="F30" s="29">
        <v>45640</v>
      </c>
      <c r="G30" s="17" t="s">
        <v>23</v>
      </c>
      <c r="H30" s="21">
        <v>0.02</v>
      </c>
      <c r="I30" s="37" t="s">
        <v>20</v>
      </c>
      <c r="J30" s="21">
        <v>1</v>
      </c>
      <c r="K30" s="28"/>
      <c r="L30" s="28"/>
      <c r="M30" s="15"/>
      <c r="N30" s="28"/>
      <c r="O30" s="59">
        <f>H30*J30</f>
        <v>0.02</v>
      </c>
    </row>
    <row r="31" spans="1:15" s="74" customFormat="1" ht="24.75" customHeight="1">
      <c r="A31" s="58" t="s">
        <v>62</v>
      </c>
      <c r="B31" s="28" t="s">
        <v>75</v>
      </c>
      <c r="C31" s="28" t="s">
        <v>64</v>
      </c>
      <c r="D31" s="19" t="s">
        <v>65</v>
      </c>
      <c r="E31" s="29">
        <v>45636</v>
      </c>
      <c r="F31" s="29">
        <v>45640</v>
      </c>
      <c r="G31" s="17" t="s">
        <v>23</v>
      </c>
      <c r="H31" s="21">
        <v>0.03</v>
      </c>
      <c r="I31" s="37" t="s">
        <v>20</v>
      </c>
      <c r="J31" s="21">
        <v>1</v>
      </c>
      <c r="K31" s="28"/>
      <c r="L31" s="28"/>
      <c r="M31" s="15"/>
      <c r="N31" s="28"/>
      <c r="O31" s="59">
        <f>H31*J31</f>
        <v>0.03</v>
      </c>
    </row>
    <row r="32" spans="1:15" s="76" customFormat="1" ht="24.75" customHeight="1">
      <c r="A32" s="58" t="s">
        <v>62</v>
      </c>
      <c r="B32" s="28" t="s">
        <v>76</v>
      </c>
      <c r="C32" s="28" t="s">
        <v>64</v>
      </c>
      <c r="D32" s="19" t="s">
        <v>65</v>
      </c>
      <c r="E32" s="29">
        <v>45642</v>
      </c>
      <c r="F32" s="29">
        <v>45647</v>
      </c>
      <c r="G32" s="17" t="s">
        <v>23</v>
      </c>
      <c r="H32" s="21">
        <v>0.02</v>
      </c>
      <c r="I32" s="37" t="s">
        <v>20</v>
      </c>
      <c r="J32" s="21">
        <v>1</v>
      </c>
      <c r="K32" s="28"/>
      <c r="L32" s="28"/>
      <c r="M32" s="15"/>
      <c r="N32" s="28"/>
      <c r="O32" s="59">
        <f>H32*J32</f>
        <v>0.02</v>
      </c>
    </row>
    <row r="33" spans="1:15" s="73" customFormat="1" ht="24.75" customHeight="1">
      <c r="A33" s="58" t="s">
        <v>62</v>
      </c>
      <c r="B33" s="28" t="s">
        <v>77</v>
      </c>
      <c r="C33" s="28" t="s">
        <v>64</v>
      </c>
      <c r="D33" s="19" t="s">
        <v>65</v>
      </c>
      <c r="E33" s="29">
        <v>45649</v>
      </c>
      <c r="F33" s="29">
        <v>45654</v>
      </c>
      <c r="G33" s="17" t="s">
        <v>23</v>
      </c>
      <c r="H33" s="21">
        <v>0.03</v>
      </c>
      <c r="I33" s="37" t="s">
        <v>20</v>
      </c>
      <c r="J33" s="21">
        <v>1</v>
      </c>
      <c r="K33" s="28"/>
      <c r="L33" s="28"/>
      <c r="M33" s="15"/>
      <c r="N33" s="28"/>
      <c r="O33" s="59">
        <f>H33*J33</f>
        <v>0.03</v>
      </c>
    </row>
    <row r="34" spans="1:15" s="73" customFormat="1" ht="24.75" customHeight="1">
      <c r="A34" s="58" t="s">
        <v>62</v>
      </c>
      <c r="B34" s="38" t="s">
        <v>78</v>
      </c>
      <c r="C34" s="28" t="s">
        <v>64</v>
      </c>
      <c r="D34" s="19" t="s">
        <v>65</v>
      </c>
      <c r="E34" s="29">
        <v>45656</v>
      </c>
      <c r="F34" s="29">
        <v>45661</v>
      </c>
      <c r="G34" s="17" t="s">
        <v>23</v>
      </c>
      <c r="H34" s="21">
        <v>0.02</v>
      </c>
      <c r="I34" s="37" t="s">
        <v>20</v>
      </c>
      <c r="J34" s="21">
        <v>1</v>
      </c>
      <c r="K34" s="28"/>
      <c r="L34" s="28"/>
      <c r="M34" s="15"/>
      <c r="N34" s="28"/>
      <c r="O34" s="59">
        <f>H34*J34</f>
        <v>0.02</v>
      </c>
    </row>
    <row r="35" spans="1:15" customFormat="1" ht="24.75" customHeight="1">
      <c r="A35" s="58" t="s">
        <v>62</v>
      </c>
      <c r="B35" s="38" t="s">
        <v>79</v>
      </c>
      <c r="C35" s="28" t="s">
        <v>64</v>
      </c>
      <c r="D35" s="19" t="s">
        <v>65</v>
      </c>
      <c r="E35" s="29">
        <v>45663</v>
      </c>
      <c r="F35" s="29">
        <v>45668</v>
      </c>
      <c r="G35" s="17" t="s">
        <v>23</v>
      </c>
      <c r="H35" s="21">
        <v>0.03</v>
      </c>
      <c r="I35" s="37" t="s">
        <v>20</v>
      </c>
      <c r="J35" s="21">
        <v>1</v>
      </c>
      <c r="K35" s="28"/>
      <c r="L35" s="28"/>
      <c r="M35" s="15"/>
      <c r="N35" s="28"/>
      <c r="O35" s="59">
        <f>H35*J35</f>
        <v>0.03</v>
      </c>
    </row>
    <row r="36" spans="1:15" s="75" customFormat="1" ht="24.75" customHeight="1">
      <c r="A36" s="58" t="s">
        <v>62</v>
      </c>
      <c r="B36" s="28" t="s">
        <v>80</v>
      </c>
      <c r="C36" s="28" t="s">
        <v>56</v>
      </c>
      <c r="D36" s="19" t="s">
        <v>65</v>
      </c>
      <c r="E36" s="29">
        <v>45582</v>
      </c>
      <c r="F36" s="29">
        <v>45591</v>
      </c>
      <c r="G36" s="100" t="s">
        <v>45</v>
      </c>
      <c r="H36" s="21">
        <v>0.02</v>
      </c>
      <c r="I36" s="19" t="s">
        <v>46</v>
      </c>
      <c r="J36" s="21">
        <v>1</v>
      </c>
      <c r="K36" s="28"/>
      <c r="L36" s="28"/>
      <c r="M36" s="15"/>
      <c r="N36" s="28"/>
      <c r="O36" s="59">
        <f>H36*J36</f>
        <v>0.02</v>
      </c>
    </row>
    <row r="37" spans="1:15" customFormat="1" ht="24.75" customHeight="1">
      <c r="A37" s="58" t="s">
        <v>62</v>
      </c>
      <c r="B37" s="28" t="s">
        <v>81</v>
      </c>
      <c r="C37" s="28" t="s">
        <v>56</v>
      </c>
      <c r="D37" s="19" t="s">
        <v>65</v>
      </c>
      <c r="E37" s="29">
        <v>45593</v>
      </c>
      <c r="F37" s="29">
        <v>45598</v>
      </c>
      <c r="G37" s="100" t="s">
        <v>45</v>
      </c>
      <c r="H37" s="21">
        <v>0.03</v>
      </c>
      <c r="I37" s="19" t="s">
        <v>46</v>
      </c>
      <c r="J37" s="21">
        <v>1</v>
      </c>
      <c r="K37" s="28"/>
      <c r="L37" s="28"/>
      <c r="M37" s="15"/>
      <c r="N37" s="28"/>
      <c r="O37" s="59">
        <f>H37*J37</f>
        <v>0.03</v>
      </c>
    </row>
    <row r="38" spans="1:15" customFormat="1" ht="24.75" customHeight="1">
      <c r="A38" s="58" t="s">
        <v>62</v>
      </c>
      <c r="B38" s="28" t="s">
        <v>82</v>
      </c>
      <c r="C38" s="28" t="s">
        <v>56</v>
      </c>
      <c r="D38" s="19" t="s">
        <v>65</v>
      </c>
      <c r="E38" s="29">
        <v>45600</v>
      </c>
      <c r="F38" s="29">
        <v>45605</v>
      </c>
      <c r="G38" s="100" t="s">
        <v>45</v>
      </c>
      <c r="H38" s="21">
        <v>0.05</v>
      </c>
      <c r="I38" s="19" t="s">
        <v>46</v>
      </c>
      <c r="J38" s="21">
        <v>1</v>
      </c>
      <c r="K38" s="28"/>
      <c r="L38" s="28"/>
      <c r="M38" s="15"/>
      <c r="N38" s="28"/>
      <c r="O38" s="59">
        <f>H38*J38</f>
        <v>0.05</v>
      </c>
    </row>
    <row r="39" spans="1:15" customFormat="1" ht="24.75" customHeight="1">
      <c r="A39" s="58" t="s">
        <v>62</v>
      </c>
      <c r="B39" s="28" t="s">
        <v>83</v>
      </c>
      <c r="C39" s="28" t="s">
        <v>56</v>
      </c>
      <c r="D39" s="19" t="s">
        <v>65</v>
      </c>
      <c r="E39" s="29">
        <v>45607</v>
      </c>
      <c r="F39" s="29">
        <v>45612</v>
      </c>
      <c r="G39" s="100" t="s">
        <v>23</v>
      </c>
      <c r="H39" s="21">
        <v>0.05</v>
      </c>
      <c r="I39" s="19" t="s">
        <v>84</v>
      </c>
      <c r="J39" s="21">
        <v>1</v>
      </c>
      <c r="K39" s="28"/>
      <c r="L39" s="28"/>
      <c r="M39" s="15"/>
      <c r="N39" s="28"/>
      <c r="O39" s="59">
        <f>H39*J39</f>
        <v>0.05</v>
      </c>
    </row>
    <row r="40" spans="1:15" s="73" customFormat="1" ht="24.75" customHeight="1">
      <c r="A40" s="58" t="s">
        <v>62</v>
      </c>
      <c r="B40" s="28" t="s">
        <v>85</v>
      </c>
      <c r="C40" s="28" t="s">
        <v>56</v>
      </c>
      <c r="D40" s="19" t="s">
        <v>65</v>
      </c>
      <c r="E40" s="29">
        <v>45614</v>
      </c>
      <c r="F40" s="29">
        <v>45619</v>
      </c>
      <c r="G40" s="100" t="s">
        <v>45</v>
      </c>
      <c r="H40" s="21">
        <v>0.05</v>
      </c>
      <c r="I40" s="19" t="s">
        <v>46</v>
      </c>
      <c r="J40" s="21">
        <v>1</v>
      </c>
      <c r="K40" s="28"/>
      <c r="L40" s="28"/>
      <c r="M40" s="15"/>
      <c r="N40" s="28"/>
      <c r="O40" s="59">
        <f>H40*J40</f>
        <v>0.05</v>
      </c>
    </row>
    <row r="41" spans="1:15" s="73" customFormat="1" ht="24.75" customHeight="1">
      <c r="A41" s="58" t="s">
        <v>62</v>
      </c>
      <c r="B41" s="28" t="s">
        <v>86</v>
      </c>
      <c r="C41" s="28" t="s">
        <v>56</v>
      </c>
      <c r="D41" s="19" t="s">
        <v>65</v>
      </c>
      <c r="E41" s="29">
        <v>45621</v>
      </c>
      <c r="F41" s="29">
        <v>45626</v>
      </c>
      <c r="G41" s="100" t="s">
        <v>23</v>
      </c>
      <c r="H41" s="21">
        <v>0.05</v>
      </c>
      <c r="I41" s="19" t="s">
        <v>84</v>
      </c>
      <c r="J41" s="21">
        <v>1</v>
      </c>
      <c r="K41" s="28"/>
      <c r="L41" s="28"/>
      <c r="M41" s="15"/>
      <c r="N41" s="28"/>
      <c r="O41" s="59">
        <f>H41*J41</f>
        <v>0.05</v>
      </c>
    </row>
    <row r="42" spans="1:15" s="73" customFormat="1" ht="24.75" customHeight="1">
      <c r="A42" s="58" t="s">
        <v>62</v>
      </c>
      <c r="B42" s="28" t="s">
        <v>87</v>
      </c>
      <c r="C42" s="28" t="s">
        <v>56</v>
      </c>
      <c r="D42" s="19" t="s">
        <v>65</v>
      </c>
      <c r="E42" s="29">
        <v>45628</v>
      </c>
      <c r="F42" s="29">
        <v>45633</v>
      </c>
      <c r="G42" s="100" t="s">
        <v>45</v>
      </c>
      <c r="H42" s="21">
        <v>0.05</v>
      </c>
      <c r="I42" s="19" t="s">
        <v>46</v>
      </c>
      <c r="J42" s="21">
        <v>1</v>
      </c>
      <c r="K42" s="28"/>
      <c r="L42" s="28"/>
      <c r="M42" s="15"/>
      <c r="N42" s="28"/>
      <c r="O42" s="59">
        <f>H42*J42</f>
        <v>0.05</v>
      </c>
    </row>
    <row r="43" spans="1:15" s="73" customFormat="1" ht="24.75" customHeight="1">
      <c r="A43" s="58" t="s">
        <v>62</v>
      </c>
      <c r="B43" s="28" t="s">
        <v>88</v>
      </c>
      <c r="C43" s="28" t="s">
        <v>56</v>
      </c>
      <c r="D43" s="19" t="s">
        <v>65</v>
      </c>
      <c r="E43" s="29">
        <v>45635</v>
      </c>
      <c r="F43" s="29">
        <v>45640</v>
      </c>
      <c r="G43" s="100" t="s">
        <v>23</v>
      </c>
      <c r="H43" s="21">
        <v>0.05</v>
      </c>
      <c r="I43" s="19" t="s">
        <v>84</v>
      </c>
      <c r="J43" s="21">
        <v>1</v>
      </c>
      <c r="K43" s="28"/>
      <c r="L43" s="28"/>
      <c r="M43" s="15"/>
      <c r="N43" s="28"/>
      <c r="O43" s="59">
        <f>H43*J43</f>
        <v>0.05</v>
      </c>
    </row>
    <row r="44" spans="1:15" s="73" customFormat="1" ht="24.75" customHeight="1">
      <c r="A44" s="58" t="s">
        <v>62</v>
      </c>
      <c r="B44" s="28" t="s">
        <v>89</v>
      </c>
      <c r="C44" s="28" t="s">
        <v>56</v>
      </c>
      <c r="D44" s="19" t="s">
        <v>65</v>
      </c>
      <c r="E44" s="29">
        <v>45642</v>
      </c>
      <c r="F44" s="29">
        <v>45647</v>
      </c>
      <c r="G44" s="100" t="s">
        <v>45</v>
      </c>
      <c r="H44" s="21">
        <v>0.05</v>
      </c>
      <c r="I44" s="19" t="s">
        <v>46</v>
      </c>
      <c r="J44" s="21">
        <v>1</v>
      </c>
      <c r="K44" s="28"/>
      <c r="L44" s="28"/>
      <c r="M44" s="15"/>
      <c r="N44" s="28"/>
      <c r="O44" s="59">
        <f>H44*J44</f>
        <v>0.05</v>
      </c>
    </row>
    <row r="45" spans="1:15" s="73" customFormat="1" ht="24.75" customHeight="1">
      <c r="A45" s="58" t="s">
        <v>62</v>
      </c>
      <c r="B45" s="28" t="s">
        <v>90</v>
      </c>
      <c r="C45" s="28" t="s">
        <v>56</v>
      </c>
      <c r="D45" s="19" t="s">
        <v>65</v>
      </c>
      <c r="E45" s="29">
        <v>45649</v>
      </c>
      <c r="F45" s="29">
        <v>45654</v>
      </c>
      <c r="G45" s="100" t="s">
        <v>23</v>
      </c>
      <c r="H45" s="21">
        <v>0.05</v>
      </c>
      <c r="I45" s="19" t="s">
        <v>84</v>
      </c>
      <c r="J45" s="21">
        <v>1</v>
      </c>
      <c r="K45" s="28"/>
      <c r="L45" s="28"/>
      <c r="M45" s="15"/>
      <c r="N45" s="28"/>
      <c r="O45" s="59">
        <f>H45*J45</f>
        <v>0.05</v>
      </c>
    </row>
    <row r="46" spans="1:15" s="75" customFormat="1" ht="24.75" customHeight="1">
      <c r="A46" s="58" t="s">
        <v>62</v>
      </c>
      <c r="B46" s="28" t="s">
        <v>91</v>
      </c>
      <c r="C46" s="28" t="s">
        <v>56</v>
      </c>
      <c r="D46" s="19" t="s">
        <v>65</v>
      </c>
      <c r="E46" s="29">
        <v>45656</v>
      </c>
      <c r="F46" s="29">
        <v>45661</v>
      </c>
      <c r="G46" s="100" t="s">
        <v>23</v>
      </c>
      <c r="H46" s="21">
        <v>0.05</v>
      </c>
      <c r="I46" s="19" t="s">
        <v>84</v>
      </c>
      <c r="J46" s="21">
        <v>1</v>
      </c>
      <c r="K46" s="28"/>
      <c r="L46" s="28"/>
      <c r="M46" s="15"/>
      <c r="N46" s="28"/>
      <c r="O46" s="59">
        <f>H46*J46</f>
        <v>0.05</v>
      </c>
    </row>
    <row r="47" spans="1:15" s="74" customFormat="1" ht="24.75" customHeight="1">
      <c r="A47" s="58" t="s">
        <v>62</v>
      </c>
      <c r="B47" s="38" t="s">
        <v>92</v>
      </c>
      <c r="C47" s="28" t="s">
        <v>56</v>
      </c>
      <c r="D47" s="19" t="s">
        <v>65</v>
      </c>
      <c r="E47" s="29">
        <v>45663</v>
      </c>
      <c r="F47" s="29">
        <v>45668</v>
      </c>
      <c r="G47" s="100" t="s">
        <v>23</v>
      </c>
      <c r="H47" s="21">
        <v>0.05</v>
      </c>
      <c r="I47" s="19" t="s">
        <v>84</v>
      </c>
      <c r="J47" s="21">
        <v>1</v>
      </c>
      <c r="K47" s="28"/>
      <c r="L47" s="28"/>
      <c r="M47" s="15"/>
      <c r="N47" s="28"/>
      <c r="O47" s="59">
        <f>H47*J47</f>
        <v>0.05</v>
      </c>
    </row>
    <row r="48" spans="1:15" s="142" customFormat="1" ht="24.75" customHeight="1">
      <c r="A48" s="137" t="s">
        <v>93</v>
      </c>
      <c r="B48" s="167" t="s">
        <v>94</v>
      </c>
      <c r="C48" s="138" t="s">
        <v>44</v>
      </c>
      <c r="D48" s="129" t="s">
        <v>95</v>
      </c>
      <c r="E48" s="139">
        <v>45608</v>
      </c>
      <c r="F48" s="139">
        <v>45612</v>
      </c>
      <c r="G48" s="138" t="s">
        <v>23</v>
      </c>
      <c r="H48" s="140">
        <v>0.05</v>
      </c>
      <c r="I48" s="138" t="s">
        <v>20</v>
      </c>
      <c r="J48" s="140">
        <v>1</v>
      </c>
      <c r="K48" s="138"/>
      <c r="L48" s="138"/>
      <c r="M48" s="138" t="s">
        <v>23</v>
      </c>
      <c r="N48" s="143">
        <v>45658</v>
      </c>
      <c r="O48" s="141">
        <f>H48*J48</f>
        <v>0.05</v>
      </c>
    </row>
    <row r="49" spans="1:15" s="75" customFormat="1" ht="24.75" customHeight="1">
      <c r="A49" s="63" t="s">
        <v>93</v>
      </c>
      <c r="B49" s="28" t="s">
        <v>96</v>
      </c>
      <c r="C49" s="15" t="s">
        <v>17</v>
      </c>
      <c r="D49" s="129" t="s">
        <v>95</v>
      </c>
      <c r="E49" s="16">
        <v>45608</v>
      </c>
      <c r="F49" s="16">
        <v>45612</v>
      </c>
      <c r="G49" s="138" t="s">
        <v>23</v>
      </c>
      <c r="H49" s="18">
        <v>0.1</v>
      </c>
      <c r="I49" s="129" t="s">
        <v>20</v>
      </c>
      <c r="J49" s="18">
        <v>1</v>
      </c>
      <c r="K49" s="15" t="s">
        <v>21</v>
      </c>
      <c r="L49" s="15" t="s">
        <v>22</v>
      </c>
      <c r="M49" s="138" t="s">
        <v>23</v>
      </c>
      <c r="N49" s="143">
        <v>45658</v>
      </c>
      <c r="O49" s="91">
        <f>H49*J49</f>
        <v>0.1</v>
      </c>
    </row>
    <row r="50" spans="1:15" s="75" customFormat="1" ht="24.75" customHeight="1">
      <c r="A50" s="63" t="s">
        <v>93</v>
      </c>
      <c r="B50" s="28" t="s">
        <v>97</v>
      </c>
      <c r="C50" s="15" t="s">
        <v>17</v>
      </c>
      <c r="D50" s="129" t="s">
        <v>95</v>
      </c>
      <c r="E50" s="16">
        <v>45608</v>
      </c>
      <c r="F50" s="16">
        <v>45612</v>
      </c>
      <c r="G50" s="138" t="s">
        <v>23</v>
      </c>
      <c r="H50" s="18">
        <v>0.03</v>
      </c>
      <c r="I50" s="129" t="s">
        <v>20</v>
      </c>
      <c r="J50" s="18">
        <v>1</v>
      </c>
      <c r="K50" s="15" t="s">
        <v>21</v>
      </c>
      <c r="L50" s="15" t="s">
        <v>22</v>
      </c>
      <c r="M50" s="138" t="s">
        <v>23</v>
      </c>
      <c r="N50" s="143">
        <v>45658</v>
      </c>
      <c r="O50" s="91">
        <f>H50*J50</f>
        <v>0.03</v>
      </c>
    </row>
    <row r="51" spans="1:15" customFormat="1" ht="24.75" customHeight="1">
      <c r="A51" s="63" t="s">
        <v>93</v>
      </c>
      <c r="B51" s="39" t="s">
        <v>98</v>
      </c>
      <c r="C51" s="15" t="s">
        <v>17</v>
      </c>
      <c r="D51" s="129" t="s">
        <v>95</v>
      </c>
      <c r="E51" s="16">
        <v>45608</v>
      </c>
      <c r="F51" s="16">
        <v>45612</v>
      </c>
      <c r="G51" s="138" t="s">
        <v>23</v>
      </c>
      <c r="H51" s="18">
        <v>0.05</v>
      </c>
      <c r="I51" s="129" t="s">
        <v>20</v>
      </c>
      <c r="J51" s="18">
        <v>1</v>
      </c>
      <c r="K51" s="15" t="s">
        <v>21</v>
      </c>
      <c r="L51" s="15" t="s">
        <v>22</v>
      </c>
      <c r="M51" s="138" t="s">
        <v>23</v>
      </c>
      <c r="N51" s="143">
        <v>45658</v>
      </c>
      <c r="O51" s="91">
        <f>H51*J51</f>
        <v>0.05</v>
      </c>
    </row>
    <row r="52" spans="1:15" customFormat="1" ht="24.75" customHeight="1">
      <c r="A52" s="63" t="s">
        <v>93</v>
      </c>
      <c r="B52" s="39" t="s">
        <v>99</v>
      </c>
      <c r="C52" s="15" t="s">
        <v>17</v>
      </c>
      <c r="D52" s="129" t="s">
        <v>95</v>
      </c>
      <c r="E52" s="16">
        <v>45608</v>
      </c>
      <c r="F52" s="16">
        <v>45612</v>
      </c>
      <c r="G52" s="138" t="s">
        <v>23</v>
      </c>
      <c r="H52" s="18">
        <v>0.05</v>
      </c>
      <c r="I52" s="129" t="s">
        <v>20</v>
      </c>
      <c r="J52" s="18">
        <v>1</v>
      </c>
      <c r="K52" s="15" t="s">
        <v>21</v>
      </c>
      <c r="L52" s="15" t="s">
        <v>22</v>
      </c>
      <c r="M52" s="138" t="s">
        <v>23</v>
      </c>
      <c r="N52" s="143">
        <v>45658</v>
      </c>
      <c r="O52" s="91">
        <f>H52*J52</f>
        <v>0.05</v>
      </c>
    </row>
    <row r="53" spans="1:15" customFormat="1" ht="24.75" customHeight="1">
      <c r="A53" s="58" t="s">
        <v>93</v>
      </c>
      <c r="B53" s="39" t="s">
        <v>100</v>
      </c>
      <c r="C53" s="28" t="s">
        <v>101</v>
      </c>
      <c r="D53" s="129" t="s">
        <v>95</v>
      </c>
      <c r="E53" s="29">
        <v>45611</v>
      </c>
      <c r="F53" s="29">
        <v>45626</v>
      </c>
      <c r="G53" s="138" t="s">
        <v>23</v>
      </c>
      <c r="H53" s="30">
        <v>0.5</v>
      </c>
      <c r="I53" s="129" t="s">
        <v>20</v>
      </c>
      <c r="J53" s="30">
        <v>1</v>
      </c>
      <c r="K53" s="28" t="s">
        <v>102</v>
      </c>
      <c r="L53" s="28" t="s">
        <v>103</v>
      </c>
      <c r="M53" s="138" t="s">
        <v>23</v>
      </c>
      <c r="N53" s="28" t="s">
        <v>104</v>
      </c>
      <c r="O53" s="71">
        <f>H53*J53</f>
        <v>0.5</v>
      </c>
    </row>
    <row r="54" spans="1:15" customFormat="1" ht="24.75" customHeight="1">
      <c r="A54" s="58" t="s">
        <v>93</v>
      </c>
      <c r="B54" s="28" t="s">
        <v>105</v>
      </c>
      <c r="C54" s="28" t="s">
        <v>65</v>
      </c>
      <c r="D54" s="129" t="s">
        <v>95</v>
      </c>
      <c r="E54" s="29">
        <v>45611</v>
      </c>
      <c r="F54" s="29">
        <v>45626</v>
      </c>
      <c r="G54" s="138" t="s">
        <v>23</v>
      </c>
      <c r="H54" s="30">
        <v>0.05</v>
      </c>
      <c r="I54" s="129" t="s">
        <v>20</v>
      </c>
      <c r="J54" s="30">
        <v>1</v>
      </c>
      <c r="K54" s="28"/>
      <c r="L54" s="28"/>
      <c r="M54" s="15"/>
      <c r="N54" s="28"/>
      <c r="O54" s="59">
        <f>H54*J54</f>
        <v>0.05</v>
      </c>
    </row>
    <row r="55" spans="1:15" s="73" customFormat="1" ht="24.75" customHeight="1">
      <c r="A55" s="58" t="s">
        <v>93</v>
      </c>
      <c r="B55" s="28" t="s">
        <v>106</v>
      </c>
      <c r="C55" s="28" t="s">
        <v>31</v>
      </c>
      <c r="D55" s="129" t="s">
        <v>95</v>
      </c>
      <c r="E55" s="29">
        <v>45611</v>
      </c>
      <c r="F55" s="29">
        <v>45626</v>
      </c>
      <c r="G55" s="138" t="s">
        <v>23</v>
      </c>
      <c r="H55" s="30">
        <v>0.05</v>
      </c>
      <c r="I55" s="129" t="s">
        <v>20</v>
      </c>
      <c r="J55" s="30">
        <v>1</v>
      </c>
      <c r="K55" s="28"/>
      <c r="L55" s="28"/>
      <c r="M55" s="15"/>
      <c r="N55" s="28"/>
      <c r="O55" s="59">
        <f>H55*J55</f>
        <v>0.05</v>
      </c>
    </row>
    <row r="56" spans="1:15" s="115" customFormat="1" ht="24.75" customHeight="1">
      <c r="A56" s="84" t="s">
        <v>107</v>
      </c>
      <c r="B56" s="66" t="s">
        <v>108</v>
      </c>
      <c r="C56" s="65" t="s">
        <v>17</v>
      </c>
      <c r="D56" s="15" t="s">
        <v>18</v>
      </c>
      <c r="E56" s="68">
        <v>45635</v>
      </c>
      <c r="F56" s="68">
        <v>45637</v>
      </c>
      <c r="G56" s="100" t="s">
        <v>23</v>
      </c>
      <c r="H56" s="70">
        <v>0.35</v>
      </c>
      <c r="I56" s="65" t="s">
        <v>20</v>
      </c>
      <c r="J56" s="70">
        <v>1</v>
      </c>
      <c r="K56" s="65" t="s">
        <v>109</v>
      </c>
      <c r="L56" s="65" t="s">
        <v>31</v>
      </c>
      <c r="M56" s="65" t="s">
        <v>23</v>
      </c>
      <c r="N56" s="69">
        <v>45547</v>
      </c>
      <c r="O56" s="90">
        <f>H56*J56</f>
        <v>0.35</v>
      </c>
    </row>
    <row r="57" spans="1:15" ht="21.75" customHeight="1">
      <c r="A57" s="58" t="s">
        <v>107</v>
      </c>
      <c r="B57" s="28" t="s">
        <v>110</v>
      </c>
      <c r="C57" s="28" t="s">
        <v>111</v>
      </c>
      <c r="D57" s="15" t="s">
        <v>18</v>
      </c>
      <c r="E57" s="29">
        <v>45608</v>
      </c>
      <c r="F57" s="29">
        <v>45696</v>
      </c>
      <c r="G57" s="28" t="s">
        <v>23</v>
      </c>
      <c r="H57" s="30">
        <v>0.05</v>
      </c>
      <c r="I57" s="28" t="s">
        <v>20</v>
      </c>
      <c r="J57" s="30">
        <v>1</v>
      </c>
      <c r="K57" s="28"/>
      <c r="L57" s="28"/>
      <c r="M57" s="28"/>
      <c r="N57" s="28"/>
      <c r="O57" s="71">
        <f>H57*J57</f>
        <v>0.05</v>
      </c>
    </row>
    <row r="58" spans="1:15" ht="24.75" customHeight="1">
      <c r="A58" s="58" t="s">
        <v>107</v>
      </c>
      <c r="B58" s="28" t="s">
        <v>112</v>
      </c>
      <c r="C58" s="28" t="s">
        <v>31</v>
      </c>
      <c r="D58" s="15" t="s">
        <v>18</v>
      </c>
      <c r="E58" s="29">
        <v>45608</v>
      </c>
      <c r="F58" s="29">
        <v>45626</v>
      </c>
      <c r="G58" s="28" t="s">
        <v>23</v>
      </c>
      <c r="H58" s="30">
        <v>0.05</v>
      </c>
      <c r="I58" s="28" t="s">
        <v>20</v>
      </c>
      <c r="J58" s="30">
        <v>1</v>
      </c>
      <c r="K58" s="28"/>
      <c r="L58" s="28"/>
      <c r="M58" s="28"/>
      <c r="N58" s="28"/>
      <c r="O58" s="71">
        <f>H58*J58</f>
        <v>0.05</v>
      </c>
    </row>
    <row r="59" spans="1:15" s="73" customFormat="1" ht="24.75" customHeight="1">
      <c r="A59" s="58" t="s">
        <v>113</v>
      </c>
      <c r="B59" s="28" t="s">
        <v>114</v>
      </c>
      <c r="C59" s="28" t="s">
        <v>56</v>
      </c>
      <c r="D59" s="19" t="s">
        <v>18</v>
      </c>
      <c r="E59" s="29">
        <v>45614</v>
      </c>
      <c r="F59" s="29">
        <v>45623</v>
      </c>
      <c r="G59" s="19" t="s">
        <v>19</v>
      </c>
      <c r="H59" s="30">
        <v>0.8</v>
      </c>
      <c r="I59" s="31" t="s">
        <v>20</v>
      </c>
      <c r="J59" s="30">
        <v>1</v>
      </c>
      <c r="K59" s="28" t="s">
        <v>115</v>
      </c>
      <c r="L59" s="28" t="s">
        <v>38</v>
      </c>
      <c r="M59" s="15" t="s">
        <v>23</v>
      </c>
      <c r="N59" s="28"/>
      <c r="O59" s="59">
        <f>H59*J59</f>
        <v>0.8</v>
      </c>
    </row>
    <row r="60" spans="1:15" s="73" customFormat="1" ht="24.75" customHeight="1">
      <c r="A60" s="58" t="s">
        <v>113</v>
      </c>
      <c r="B60" s="28" t="s">
        <v>116</v>
      </c>
      <c r="C60" s="19" t="s">
        <v>18</v>
      </c>
      <c r="D60" s="19" t="s">
        <v>18</v>
      </c>
      <c r="E60" s="29">
        <v>45621</v>
      </c>
      <c r="F60" s="29">
        <v>45625</v>
      </c>
      <c r="G60" s="19" t="s">
        <v>19</v>
      </c>
      <c r="H60" s="30">
        <v>0.1</v>
      </c>
      <c r="I60" s="31" t="s">
        <v>20</v>
      </c>
      <c r="J60" s="30">
        <v>1</v>
      </c>
      <c r="K60" s="28"/>
      <c r="L60" s="28"/>
      <c r="M60" s="15"/>
      <c r="N60" s="28"/>
      <c r="O60" s="59">
        <f>H60*J60</f>
        <v>0.1</v>
      </c>
    </row>
    <row r="61" spans="1:15" s="74" customFormat="1" ht="24.75" customHeight="1">
      <c r="A61" s="58" t="s">
        <v>113</v>
      </c>
      <c r="B61" s="28" t="s">
        <v>117</v>
      </c>
      <c r="C61" s="28" t="s">
        <v>31</v>
      </c>
      <c r="D61" s="19" t="s">
        <v>18</v>
      </c>
      <c r="E61" s="29">
        <v>45621</v>
      </c>
      <c r="F61" s="29">
        <v>45625</v>
      </c>
      <c r="G61" s="19" t="s">
        <v>19</v>
      </c>
      <c r="H61" s="30">
        <v>0.1</v>
      </c>
      <c r="I61" s="31" t="s">
        <v>20</v>
      </c>
      <c r="J61" s="30">
        <v>1</v>
      </c>
      <c r="K61" s="28"/>
      <c r="L61" s="28"/>
      <c r="M61" s="15"/>
      <c r="N61" s="28"/>
      <c r="O61" s="59">
        <f>H61*J61</f>
        <v>0.1</v>
      </c>
    </row>
    <row r="62" spans="1:15" s="75" customFormat="1" ht="24.75" customHeight="1">
      <c r="A62" s="58" t="s">
        <v>118</v>
      </c>
      <c r="B62" s="28" t="s">
        <v>119</v>
      </c>
      <c r="C62" s="28" t="s">
        <v>25</v>
      </c>
      <c r="D62" s="28" t="s">
        <v>65</v>
      </c>
      <c r="E62" s="29">
        <v>45628</v>
      </c>
      <c r="F62" s="29">
        <v>45682</v>
      </c>
      <c r="G62" s="129" t="s">
        <v>23</v>
      </c>
      <c r="H62" s="30">
        <v>0.7</v>
      </c>
      <c r="I62" s="41" t="s">
        <v>20</v>
      </c>
      <c r="J62" s="30">
        <v>1</v>
      </c>
      <c r="K62" s="28"/>
      <c r="L62" s="28" t="s">
        <v>38</v>
      </c>
      <c r="M62" s="15" t="s">
        <v>23</v>
      </c>
      <c r="N62" s="28"/>
      <c r="O62" s="59">
        <f>H62*J62</f>
        <v>0.7</v>
      </c>
    </row>
    <row r="63" spans="1:15" customFormat="1" ht="24.75" customHeight="1">
      <c r="A63" s="58" t="s">
        <v>118</v>
      </c>
      <c r="B63" s="28" t="s">
        <v>120</v>
      </c>
      <c r="C63" s="19" t="s">
        <v>111</v>
      </c>
      <c r="D63" s="28" t="s">
        <v>65</v>
      </c>
      <c r="E63" s="29">
        <v>45628</v>
      </c>
      <c r="F63" s="29">
        <v>45682</v>
      </c>
      <c r="G63" s="129" t="s">
        <v>23</v>
      </c>
      <c r="H63" s="30">
        <v>0.15</v>
      </c>
      <c r="I63" s="41" t="s">
        <v>20</v>
      </c>
      <c r="J63" s="30">
        <v>1</v>
      </c>
      <c r="K63" s="28"/>
      <c r="L63" s="28"/>
      <c r="M63" s="15"/>
      <c r="N63" s="28"/>
      <c r="O63" s="59">
        <f>H63*J63</f>
        <v>0.15</v>
      </c>
    </row>
    <row r="64" spans="1:15" customFormat="1" ht="24.75" customHeight="1">
      <c r="A64" s="58" t="s">
        <v>118</v>
      </c>
      <c r="B64" s="28" t="s">
        <v>121</v>
      </c>
      <c r="C64" s="28" t="s">
        <v>31</v>
      </c>
      <c r="D64" s="28" t="s">
        <v>65</v>
      </c>
      <c r="E64" s="29">
        <v>45628</v>
      </c>
      <c r="F64" s="29">
        <v>45682</v>
      </c>
      <c r="G64" s="129" t="s">
        <v>23</v>
      </c>
      <c r="H64" s="30">
        <v>0.05</v>
      </c>
      <c r="I64" s="41" t="s">
        <v>20</v>
      </c>
      <c r="J64" s="30">
        <v>1</v>
      </c>
      <c r="K64" s="28"/>
      <c r="L64" s="28"/>
      <c r="M64" s="15"/>
      <c r="N64" s="28"/>
      <c r="O64" s="59">
        <f>H64*J64</f>
        <v>0.05</v>
      </c>
    </row>
    <row r="65" spans="1:16" s="74" customFormat="1" ht="24.75" customHeight="1">
      <c r="A65" s="85" t="s">
        <v>122</v>
      </c>
      <c r="B65" s="19" t="s">
        <v>123</v>
      </c>
      <c r="C65" s="19" t="s">
        <v>58</v>
      </c>
      <c r="D65" s="19" t="s">
        <v>58</v>
      </c>
      <c r="E65" s="20">
        <v>45555</v>
      </c>
      <c r="F65" s="20">
        <v>45560</v>
      </c>
      <c r="G65" s="17" t="s">
        <v>23</v>
      </c>
      <c r="H65" s="21">
        <v>0.1</v>
      </c>
      <c r="I65" s="15" t="s">
        <v>20</v>
      </c>
      <c r="J65" s="21">
        <v>1</v>
      </c>
      <c r="K65" s="19"/>
      <c r="L65" s="19"/>
      <c r="M65" s="19"/>
      <c r="N65" s="19"/>
      <c r="O65" s="59">
        <f>H65*J65</f>
        <v>0.1</v>
      </c>
    </row>
    <row r="66" spans="1:16" s="76" customFormat="1" ht="24.75" customHeight="1">
      <c r="A66" s="85" t="s">
        <v>122</v>
      </c>
      <c r="B66" s="19" t="s">
        <v>124</v>
      </c>
      <c r="C66" s="19" t="s">
        <v>58</v>
      </c>
      <c r="D66" s="19" t="s">
        <v>58</v>
      </c>
      <c r="E66" s="20">
        <v>45560</v>
      </c>
      <c r="F66" s="20">
        <v>45565</v>
      </c>
      <c r="G66" s="17" t="s">
        <v>23</v>
      </c>
      <c r="H66" s="21">
        <v>0.1</v>
      </c>
      <c r="I66" s="15" t="s">
        <v>20</v>
      </c>
      <c r="J66" s="21">
        <v>1</v>
      </c>
      <c r="K66" s="19"/>
      <c r="L66" s="19"/>
      <c r="M66" s="19"/>
      <c r="N66" s="19"/>
      <c r="O66" s="59">
        <f>H66*J66</f>
        <v>0.1</v>
      </c>
    </row>
    <row r="67" spans="1:16" customFormat="1" ht="24.75" customHeight="1">
      <c r="A67" s="63" t="s">
        <v>122</v>
      </c>
      <c r="B67" s="15" t="s">
        <v>125</v>
      </c>
      <c r="C67" s="15" t="s">
        <v>44</v>
      </c>
      <c r="D67" s="15" t="s">
        <v>58</v>
      </c>
      <c r="E67" s="16">
        <v>45561</v>
      </c>
      <c r="F67" s="16">
        <v>45564</v>
      </c>
      <c r="G67" s="17" t="s">
        <v>23</v>
      </c>
      <c r="H67" s="18">
        <v>0.1</v>
      </c>
      <c r="I67" s="15" t="s">
        <v>20</v>
      </c>
      <c r="J67" s="18">
        <v>1</v>
      </c>
      <c r="K67" s="15" t="s">
        <v>126</v>
      </c>
      <c r="L67" s="15" t="s">
        <v>31</v>
      </c>
      <c r="M67" s="15" t="s">
        <v>23</v>
      </c>
      <c r="N67" s="17">
        <v>45616</v>
      </c>
      <c r="O67" s="91">
        <f>H67*J67</f>
        <v>0.1</v>
      </c>
    </row>
    <row r="68" spans="1:16" s="77" customFormat="1" ht="24.75" customHeight="1">
      <c r="A68" s="63" t="s">
        <v>122</v>
      </c>
      <c r="B68" s="15" t="s">
        <v>127</v>
      </c>
      <c r="C68" s="15" t="s">
        <v>44</v>
      </c>
      <c r="D68" s="15" t="s">
        <v>58</v>
      </c>
      <c r="E68" s="16">
        <v>45562</v>
      </c>
      <c r="F68" s="16">
        <v>45563</v>
      </c>
      <c r="G68" s="17" t="s">
        <v>23</v>
      </c>
      <c r="H68" s="18">
        <v>0.1</v>
      </c>
      <c r="I68" s="15" t="s">
        <v>20</v>
      </c>
      <c r="J68" s="18">
        <v>1</v>
      </c>
      <c r="K68" s="15"/>
      <c r="L68" s="15"/>
      <c r="M68" s="15"/>
      <c r="N68" s="15"/>
      <c r="O68" s="91">
        <f>H68*J68</f>
        <v>0.1</v>
      </c>
    </row>
    <row r="69" spans="1:16" s="127" customFormat="1" ht="24.75" customHeight="1">
      <c r="A69" s="101" t="s">
        <v>107</v>
      </c>
      <c r="B69" s="125" t="s">
        <v>128</v>
      </c>
      <c r="C69" s="37" t="s">
        <v>111</v>
      </c>
      <c r="D69" s="37" t="s">
        <v>18</v>
      </c>
      <c r="E69" s="102">
        <v>45638</v>
      </c>
      <c r="F69" s="102">
        <v>45643</v>
      </c>
      <c r="G69" s="126" t="s">
        <v>23</v>
      </c>
      <c r="H69" s="103">
        <v>0.35</v>
      </c>
      <c r="I69" s="37" t="s">
        <v>20</v>
      </c>
      <c r="J69" s="103">
        <v>1</v>
      </c>
      <c r="K69" s="37" t="s">
        <v>129</v>
      </c>
      <c r="L69" s="37" t="s">
        <v>38</v>
      </c>
      <c r="M69" s="37" t="s">
        <v>23</v>
      </c>
      <c r="N69" s="126">
        <v>45658</v>
      </c>
      <c r="O69" s="105">
        <f>H69*J69</f>
        <v>0.35</v>
      </c>
      <c r="P69" s="106"/>
    </row>
    <row r="70" spans="1:16" customFormat="1" ht="24.75" customHeight="1">
      <c r="A70" s="84" t="s">
        <v>122</v>
      </c>
      <c r="B70" s="66" t="s">
        <v>130</v>
      </c>
      <c r="C70" s="67" t="s">
        <v>17</v>
      </c>
      <c r="D70" s="65" t="s">
        <v>58</v>
      </c>
      <c r="E70" s="68">
        <v>45555</v>
      </c>
      <c r="F70" s="68">
        <v>45564</v>
      </c>
      <c r="G70" s="69" t="s">
        <v>23</v>
      </c>
      <c r="H70" s="70">
        <v>0.1</v>
      </c>
      <c r="I70" s="65" t="s">
        <v>20</v>
      </c>
      <c r="J70" s="70">
        <v>1</v>
      </c>
      <c r="K70" s="65" t="s">
        <v>131</v>
      </c>
      <c r="L70" s="65" t="s">
        <v>22</v>
      </c>
      <c r="M70" s="65" t="s">
        <v>23</v>
      </c>
      <c r="N70" s="65" t="s">
        <v>132</v>
      </c>
      <c r="O70" s="90">
        <f>H70*J70</f>
        <v>0.1</v>
      </c>
    </row>
    <row r="71" spans="1:16" customFormat="1" ht="24.75" customHeight="1">
      <c r="A71" s="84" t="s">
        <v>122</v>
      </c>
      <c r="B71" s="66" t="s">
        <v>133</v>
      </c>
      <c r="C71" s="66" t="s">
        <v>17</v>
      </c>
      <c r="D71" s="65" t="s">
        <v>58</v>
      </c>
      <c r="E71" s="68">
        <v>45546</v>
      </c>
      <c r="F71" s="68">
        <v>45564</v>
      </c>
      <c r="G71" s="69" t="s">
        <v>23</v>
      </c>
      <c r="H71" s="70">
        <v>0.1</v>
      </c>
      <c r="I71" s="65" t="s">
        <v>20</v>
      </c>
      <c r="J71" s="70">
        <v>1</v>
      </c>
      <c r="K71" s="65" t="s">
        <v>134</v>
      </c>
      <c r="L71" s="65" t="s">
        <v>22</v>
      </c>
      <c r="M71" s="65" t="s">
        <v>23</v>
      </c>
      <c r="N71" s="65" t="s">
        <v>132</v>
      </c>
      <c r="O71" s="90">
        <f>H71*J71</f>
        <v>0.1</v>
      </c>
    </row>
    <row r="72" spans="1:16" s="73" customFormat="1" ht="24.75" customHeight="1">
      <c r="A72" s="85" t="s">
        <v>122</v>
      </c>
      <c r="B72" s="19" t="s">
        <v>135</v>
      </c>
      <c r="C72" s="19" t="s">
        <v>31</v>
      </c>
      <c r="D72" s="19" t="s">
        <v>58</v>
      </c>
      <c r="E72" s="20">
        <v>45565</v>
      </c>
      <c r="F72" s="20">
        <v>45570</v>
      </c>
      <c r="G72" s="17" t="s">
        <v>23</v>
      </c>
      <c r="H72" s="21">
        <v>0.05</v>
      </c>
      <c r="I72" s="65" t="s">
        <v>20</v>
      </c>
      <c r="J72" s="21">
        <v>1</v>
      </c>
      <c r="K72" s="19"/>
      <c r="L72" s="19"/>
      <c r="M72" s="19"/>
      <c r="N72" s="19"/>
      <c r="O72" s="59">
        <f>H72*J72</f>
        <v>0.05</v>
      </c>
    </row>
    <row r="73" spans="1:16" s="73" customFormat="1" ht="24.75" customHeight="1">
      <c r="A73" s="63" t="s">
        <v>122</v>
      </c>
      <c r="B73" s="15" t="s">
        <v>136</v>
      </c>
      <c r="C73" s="15" t="s">
        <v>44</v>
      </c>
      <c r="D73" s="15" t="s">
        <v>58</v>
      </c>
      <c r="E73" s="16">
        <v>45561</v>
      </c>
      <c r="F73" s="16">
        <v>45562</v>
      </c>
      <c r="G73" s="17" t="s">
        <v>23</v>
      </c>
      <c r="H73" s="18">
        <v>0.05</v>
      </c>
      <c r="I73" s="15" t="s">
        <v>20</v>
      </c>
      <c r="J73" s="18">
        <v>1</v>
      </c>
      <c r="K73" s="15"/>
      <c r="L73" s="15"/>
      <c r="M73" s="15"/>
      <c r="N73" s="15"/>
      <c r="O73" s="91">
        <f>H73*J73</f>
        <v>0.05</v>
      </c>
    </row>
    <row r="74" spans="1:16" ht="24.75" customHeight="1">
      <c r="A74" s="85" t="s">
        <v>122</v>
      </c>
      <c r="B74" s="34" t="s">
        <v>137</v>
      </c>
      <c r="C74" s="34" t="s">
        <v>44</v>
      </c>
      <c r="D74" s="34" t="s">
        <v>58</v>
      </c>
      <c r="E74" s="60">
        <v>45589</v>
      </c>
      <c r="F74" s="60">
        <v>45619</v>
      </c>
      <c r="G74" s="34" t="s">
        <v>23</v>
      </c>
      <c r="H74" s="61">
        <v>0.1</v>
      </c>
      <c r="I74" s="34" t="s">
        <v>20</v>
      </c>
      <c r="J74" s="61">
        <v>1</v>
      </c>
      <c r="K74" s="28"/>
      <c r="L74" s="28"/>
      <c r="M74" s="15"/>
      <c r="N74" s="28"/>
      <c r="O74" s="59">
        <f>H74*J74</f>
        <v>0.1</v>
      </c>
    </row>
    <row r="75" spans="1:16" ht="24.75" customHeight="1">
      <c r="A75" s="58" t="s">
        <v>122</v>
      </c>
      <c r="B75" s="28" t="s">
        <v>138</v>
      </c>
      <c r="C75" s="28" t="s">
        <v>25</v>
      </c>
      <c r="D75" s="15" t="s">
        <v>58</v>
      </c>
      <c r="E75" s="29">
        <v>45583</v>
      </c>
      <c r="F75" s="29">
        <v>45587</v>
      </c>
      <c r="G75" s="34" t="s">
        <v>23</v>
      </c>
      <c r="H75" s="18">
        <v>0.1</v>
      </c>
      <c r="I75" s="34" t="s">
        <v>20</v>
      </c>
      <c r="J75" s="30">
        <v>1</v>
      </c>
      <c r="K75" s="28"/>
      <c r="L75" s="28"/>
      <c r="M75" s="15"/>
      <c r="N75" s="28"/>
      <c r="O75" s="59">
        <f>H75*J75</f>
        <v>0.1</v>
      </c>
    </row>
    <row r="76" spans="1:16" ht="24.75" customHeight="1">
      <c r="A76" s="63" t="s">
        <v>139</v>
      </c>
      <c r="B76" s="19" t="s">
        <v>140</v>
      </c>
      <c r="C76" s="19" t="s">
        <v>58</v>
      </c>
      <c r="D76" s="116" t="s">
        <v>65</v>
      </c>
      <c r="E76" s="20">
        <f>F75</f>
        <v>45587</v>
      </c>
      <c r="F76" s="20">
        <f>F77-5</f>
        <v>45582</v>
      </c>
      <c r="G76" s="19" t="s">
        <v>26</v>
      </c>
      <c r="H76" s="21">
        <v>0.2</v>
      </c>
      <c r="I76" s="19" t="s">
        <v>27</v>
      </c>
      <c r="J76" s="21">
        <v>0.01</v>
      </c>
      <c r="K76" s="19"/>
      <c r="L76" s="19"/>
      <c r="M76" s="19"/>
      <c r="N76" s="19"/>
      <c r="O76" s="59">
        <f>H76*J76</f>
        <v>2E-3</v>
      </c>
    </row>
    <row r="77" spans="1:16" ht="24.75" customHeight="1">
      <c r="A77" s="63" t="s">
        <v>139</v>
      </c>
      <c r="B77" s="19" t="s">
        <v>141</v>
      </c>
      <c r="C77" s="19" t="s">
        <v>58</v>
      </c>
      <c r="D77" s="116" t="s">
        <v>65</v>
      </c>
      <c r="E77" s="20">
        <f>F76</f>
        <v>45582</v>
      </c>
      <c r="F77" s="20">
        <f>F78-10</f>
        <v>45587</v>
      </c>
      <c r="G77" s="19" t="s">
        <v>26</v>
      </c>
      <c r="H77" s="21">
        <v>0.1</v>
      </c>
      <c r="I77" s="19" t="s">
        <v>27</v>
      </c>
      <c r="J77" s="21">
        <v>0.01</v>
      </c>
      <c r="K77" s="19"/>
      <c r="L77" s="19"/>
      <c r="M77" s="19"/>
      <c r="N77" s="19"/>
      <c r="O77" s="59">
        <f>H77*J77</f>
        <v>1E-3</v>
      </c>
    </row>
    <row r="78" spans="1:16" ht="24.75" customHeight="1">
      <c r="A78" s="63" t="s">
        <v>139</v>
      </c>
      <c r="B78" s="15" t="s">
        <v>142</v>
      </c>
      <c r="C78" s="15" t="s">
        <v>17</v>
      </c>
      <c r="D78" s="116" t="s">
        <v>65</v>
      </c>
      <c r="E78" s="16">
        <v>45555</v>
      </c>
      <c r="F78" s="16">
        <v>45597</v>
      </c>
      <c r="G78" s="17" t="s">
        <v>45</v>
      </c>
      <c r="H78" s="18">
        <v>0.2</v>
      </c>
      <c r="I78" s="15" t="s">
        <v>20</v>
      </c>
      <c r="J78" s="18">
        <v>1</v>
      </c>
      <c r="K78" s="15" t="s">
        <v>143</v>
      </c>
      <c r="L78" s="15" t="s">
        <v>38</v>
      </c>
      <c r="M78" s="15" t="s">
        <v>26</v>
      </c>
      <c r="N78" s="15"/>
      <c r="O78" s="91">
        <f>H78*J78</f>
        <v>0.2</v>
      </c>
    </row>
    <row r="79" spans="1:16" ht="24.75" customHeight="1">
      <c r="A79" s="63" t="s">
        <v>139</v>
      </c>
      <c r="B79" s="15" t="s">
        <v>144</v>
      </c>
      <c r="C79" s="15" t="s">
        <v>17</v>
      </c>
      <c r="D79" s="116" t="s">
        <v>65</v>
      </c>
      <c r="E79" s="16">
        <v>45555</v>
      </c>
      <c r="F79" s="16">
        <v>45597</v>
      </c>
      <c r="G79" s="17" t="s">
        <v>45</v>
      </c>
      <c r="H79" s="18">
        <v>0.1</v>
      </c>
      <c r="I79" s="15" t="s">
        <v>20</v>
      </c>
      <c r="J79" s="18">
        <v>1</v>
      </c>
      <c r="K79" s="15" t="s">
        <v>143</v>
      </c>
      <c r="L79" s="15" t="s">
        <v>38</v>
      </c>
      <c r="M79" s="15" t="s">
        <v>26</v>
      </c>
      <c r="N79" s="15"/>
      <c r="O79" s="91">
        <f>H79*J79</f>
        <v>0.1</v>
      </c>
    </row>
    <row r="80" spans="1:16" ht="24.75" customHeight="1">
      <c r="A80" s="63" t="s">
        <v>139</v>
      </c>
      <c r="B80" s="19" t="s">
        <v>145</v>
      </c>
      <c r="C80" s="19" t="s">
        <v>31</v>
      </c>
      <c r="D80" s="116" t="s">
        <v>65</v>
      </c>
      <c r="E80" s="20">
        <f>F79</f>
        <v>45597</v>
      </c>
      <c r="F80" s="20">
        <v>45602</v>
      </c>
      <c r="G80" s="19" t="s">
        <v>26</v>
      </c>
      <c r="H80" s="21">
        <v>0.1</v>
      </c>
      <c r="I80" s="19" t="s">
        <v>27</v>
      </c>
      <c r="J80" s="21">
        <v>0.01</v>
      </c>
      <c r="K80" s="19"/>
      <c r="L80" s="19"/>
      <c r="M80" s="19"/>
      <c r="N80" s="19"/>
      <c r="O80" s="59">
        <f>H80*J80</f>
        <v>1E-3</v>
      </c>
    </row>
    <row r="81" spans="1:15" ht="24.75" customHeight="1">
      <c r="A81" s="63" t="s">
        <v>139</v>
      </c>
      <c r="B81" s="15" t="s">
        <v>146</v>
      </c>
      <c r="C81" s="15" t="s">
        <v>44</v>
      </c>
      <c r="D81" s="116" t="s">
        <v>65</v>
      </c>
      <c r="E81" s="16">
        <v>45547</v>
      </c>
      <c r="F81" s="16">
        <v>45552</v>
      </c>
      <c r="G81" s="17" t="s">
        <v>23</v>
      </c>
      <c r="H81" s="18">
        <v>0.1</v>
      </c>
      <c r="I81" s="15" t="s">
        <v>20</v>
      </c>
      <c r="J81" s="18">
        <v>1</v>
      </c>
      <c r="K81" s="15"/>
      <c r="L81" s="15"/>
      <c r="M81" s="15"/>
      <c r="N81" s="15"/>
      <c r="O81" s="91">
        <f>H81*J81</f>
        <v>0.1</v>
      </c>
    </row>
    <row r="82" spans="1:15" ht="24.75" customHeight="1">
      <c r="A82" s="58" t="s">
        <v>147</v>
      </c>
      <c r="B82" s="28" t="s">
        <v>148</v>
      </c>
      <c r="C82" s="28" t="s">
        <v>44</v>
      </c>
      <c r="D82" s="28" t="s">
        <v>58</v>
      </c>
      <c r="E82" s="29">
        <v>45592</v>
      </c>
      <c r="F82" s="29">
        <v>45593</v>
      </c>
      <c r="G82" s="144" t="s">
        <v>45</v>
      </c>
      <c r="H82" s="30">
        <v>0.1</v>
      </c>
      <c r="I82" s="28" t="s">
        <v>149</v>
      </c>
      <c r="J82" s="30">
        <v>0.9</v>
      </c>
      <c r="K82" s="28" t="s">
        <v>150</v>
      </c>
      <c r="L82" s="28" t="s">
        <v>22</v>
      </c>
      <c r="M82" s="28" t="s">
        <v>26</v>
      </c>
      <c r="N82" s="144"/>
      <c r="O82" s="71">
        <f>H82*J82</f>
        <v>9.0000000000000011E-2</v>
      </c>
    </row>
    <row r="83" spans="1:15" ht="24.75" customHeight="1">
      <c r="A83" s="63" t="s">
        <v>147</v>
      </c>
      <c r="B83" s="15" t="s">
        <v>151</v>
      </c>
      <c r="C83" s="15" t="s">
        <v>17</v>
      </c>
      <c r="D83" s="15" t="s">
        <v>58</v>
      </c>
      <c r="E83" s="16">
        <v>45555</v>
      </c>
      <c r="F83" s="16">
        <v>45575</v>
      </c>
      <c r="G83" s="57" t="s">
        <v>45</v>
      </c>
      <c r="H83" s="18">
        <v>0.1</v>
      </c>
      <c r="I83" s="15" t="s">
        <v>149</v>
      </c>
      <c r="J83" s="18">
        <v>0.8</v>
      </c>
      <c r="K83" s="15" t="s">
        <v>102</v>
      </c>
      <c r="L83" s="15" t="s">
        <v>38</v>
      </c>
      <c r="M83" s="15" t="s">
        <v>26</v>
      </c>
      <c r="N83" s="15"/>
      <c r="O83" s="91">
        <f>H83*J83</f>
        <v>8.0000000000000016E-2</v>
      </c>
    </row>
    <row r="84" spans="1:15" ht="24.75" customHeight="1">
      <c r="A84" s="63" t="s">
        <v>147</v>
      </c>
      <c r="B84" s="19" t="s">
        <v>152</v>
      </c>
      <c r="C84" s="19" t="s">
        <v>18</v>
      </c>
      <c r="D84" s="15" t="s">
        <v>58</v>
      </c>
      <c r="E84" s="20">
        <v>45548</v>
      </c>
      <c r="F84" s="20">
        <v>45575</v>
      </c>
      <c r="G84" s="57" t="s">
        <v>45</v>
      </c>
      <c r="H84" s="21">
        <v>0.1</v>
      </c>
      <c r="I84" s="19" t="s">
        <v>27</v>
      </c>
      <c r="J84" s="21">
        <v>0.01</v>
      </c>
      <c r="K84" s="19"/>
      <c r="L84" s="19"/>
      <c r="M84" s="19"/>
      <c r="N84" s="19"/>
      <c r="O84" s="59">
        <f>H84*J84</f>
        <v>1E-3</v>
      </c>
    </row>
    <row r="85" spans="1:15" ht="24.75" customHeight="1">
      <c r="A85" s="63" t="s">
        <v>147</v>
      </c>
      <c r="B85" s="26" t="s">
        <v>153</v>
      </c>
      <c r="C85" s="15" t="s">
        <v>17</v>
      </c>
      <c r="D85" s="15" t="s">
        <v>58</v>
      </c>
      <c r="E85" s="16">
        <v>45555</v>
      </c>
      <c r="F85" s="16">
        <v>45575</v>
      </c>
      <c r="G85" s="57" t="s">
        <v>45</v>
      </c>
      <c r="H85" s="18">
        <v>0.1</v>
      </c>
      <c r="I85" s="15" t="s">
        <v>149</v>
      </c>
      <c r="J85" s="18">
        <v>0.8</v>
      </c>
      <c r="K85" s="15" t="s">
        <v>21</v>
      </c>
      <c r="L85" s="15" t="s">
        <v>103</v>
      </c>
      <c r="M85" s="15" t="s">
        <v>26</v>
      </c>
      <c r="N85" s="15"/>
      <c r="O85" s="91">
        <f>H85*J85</f>
        <v>8.0000000000000016E-2</v>
      </c>
    </row>
    <row r="86" spans="1:15" s="112" customFormat="1" ht="24.75" customHeight="1">
      <c r="A86" s="107" t="s">
        <v>147</v>
      </c>
      <c r="B86" s="108" t="s">
        <v>154</v>
      </c>
      <c r="C86" s="108" t="s">
        <v>44</v>
      </c>
      <c r="D86" s="108" t="s">
        <v>58</v>
      </c>
      <c r="E86" s="109">
        <v>45560</v>
      </c>
      <c r="F86" s="109">
        <v>45574</v>
      </c>
      <c r="G86" s="108" t="s">
        <v>23</v>
      </c>
      <c r="H86" s="110">
        <v>0.05</v>
      </c>
      <c r="I86" s="108" t="s">
        <v>20</v>
      </c>
      <c r="J86" s="110">
        <v>1</v>
      </c>
      <c r="K86" s="108"/>
      <c r="L86" s="108"/>
      <c r="M86" s="108"/>
      <c r="N86" s="108"/>
      <c r="O86" s="111">
        <f>H86*J86</f>
        <v>0.05</v>
      </c>
    </row>
    <row r="87" spans="1:15" s="76" customFormat="1" ht="24.75" customHeight="1">
      <c r="A87" s="87" t="s">
        <v>147</v>
      </c>
      <c r="B87" s="119" t="s">
        <v>155</v>
      </c>
      <c r="C87" s="31" t="s">
        <v>17</v>
      </c>
      <c r="D87" s="31" t="s">
        <v>58</v>
      </c>
      <c r="E87" s="32">
        <v>45548</v>
      </c>
      <c r="F87" s="32">
        <v>45575</v>
      </c>
      <c r="G87" s="31" t="s">
        <v>45</v>
      </c>
      <c r="H87" s="33">
        <v>0.1</v>
      </c>
      <c r="I87" s="31" t="s">
        <v>27</v>
      </c>
      <c r="J87" s="33">
        <v>0.01</v>
      </c>
      <c r="K87" s="31" t="s">
        <v>30</v>
      </c>
      <c r="L87" s="31" t="s">
        <v>38</v>
      </c>
      <c r="M87" s="31" t="s">
        <v>26</v>
      </c>
      <c r="N87" s="31"/>
      <c r="O87" s="92">
        <f>H87*J87</f>
        <v>1E-3</v>
      </c>
    </row>
    <row r="88" spans="1:15" ht="24.75" customHeight="1">
      <c r="A88" s="63" t="s">
        <v>147</v>
      </c>
      <c r="B88" s="15" t="s">
        <v>156</v>
      </c>
      <c r="C88" s="15" t="s">
        <v>17</v>
      </c>
      <c r="D88" s="15" t="s">
        <v>58</v>
      </c>
      <c r="E88" s="16">
        <v>45555</v>
      </c>
      <c r="F88" s="16">
        <v>45575</v>
      </c>
      <c r="G88" s="15" t="s">
        <v>45</v>
      </c>
      <c r="H88" s="18">
        <v>0.1</v>
      </c>
      <c r="I88" s="15" t="s">
        <v>149</v>
      </c>
      <c r="J88" s="18">
        <v>0.8</v>
      </c>
      <c r="K88" s="15" t="s">
        <v>21</v>
      </c>
      <c r="L88" s="15" t="s">
        <v>22</v>
      </c>
      <c r="M88" s="15" t="s">
        <v>26</v>
      </c>
      <c r="N88" s="15"/>
      <c r="O88" s="91">
        <f>H88*J88</f>
        <v>8.0000000000000016E-2</v>
      </c>
    </row>
    <row r="89" spans="1:15" ht="24.75" customHeight="1">
      <c r="A89" s="63" t="s">
        <v>147</v>
      </c>
      <c r="B89" s="15" t="s">
        <v>157</v>
      </c>
      <c r="C89" s="15" t="s">
        <v>17</v>
      </c>
      <c r="D89" s="15" t="s">
        <v>58</v>
      </c>
      <c r="E89" s="16">
        <v>45555</v>
      </c>
      <c r="F89" s="16">
        <v>45575</v>
      </c>
      <c r="G89" s="15" t="s">
        <v>45</v>
      </c>
      <c r="H89" s="18">
        <v>0.1</v>
      </c>
      <c r="I89" s="15" t="s">
        <v>149</v>
      </c>
      <c r="J89" s="18">
        <v>0.8</v>
      </c>
      <c r="K89" s="15" t="s">
        <v>21</v>
      </c>
      <c r="L89" s="15" t="s">
        <v>22</v>
      </c>
      <c r="M89" s="15" t="s">
        <v>26</v>
      </c>
      <c r="N89" s="15"/>
      <c r="O89" s="91">
        <f>H89*J89</f>
        <v>8.0000000000000016E-2</v>
      </c>
    </row>
    <row r="90" spans="1:15" ht="24.75" customHeight="1">
      <c r="A90" s="63" t="s">
        <v>147</v>
      </c>
      <c r="B90" s="19" t="s">
        <v>158</v>
      </c>
      <c r="C90" s="19" t="s">
        <v>18</v>
      </c>
      <c r="D90" s="15" t="s">
        <v>58</v>
      </c>
      <c r="E90" s="20">
        <v>45548</v>
      </c>
      <c r="F90" s="20">
        <v>45580</v>
      </c>
      <c r="G90" s="15" t="s">
        <v>45</v>
      </c>
      <c r="H90" s="21">
        <v>0.1</v>
      </c>
      <c r="I90" s="19" t="s">
        <v>27</v>
      </c>
      <c r="J90" s="21">
        <v>0.01</v>
      </c>
      <c r="K90" s="19"/>
      <c r="L90" s="19"/>
      <c r="M90" s="19"/>
      <c r="N90" s="19"/>
      <c r="O90" s="59">
        <f>H90*J90</f>
        <v>1E-3</v>
      </c>
    </row>
    <row r="91" spans="1:15" ht="24.75" customHeight="1">
      <c r="A91" s="63" t="s">
        <v>147</v>
      </c>
      <c r="B91" s="19" t="s">
        <v>159</v>
      </c>
      <c r="C91" s="19" t="s">
        <v>31</v>
      </c>
      <c r="D91" s="15" t="s">
        <v>58</v>
      </c>
      <c r="E91" s="20">
        <v>45548</v>
      </c>
      <c r="F91" s="20">
        <v>45595</v>
      </c>
      <c r="G91" s="15" t="s">
        <v>45</v>
      </c>
      <c r="H91" s="21">
        <v>0.1</v>
      </c>
      <c r="I91" s="19" t="s">
        <v>27</v>
      </c>
      <c r="J91" s="21">
        <v>0.01</v>
      </c>
      <c r="K91" s="19"/>
      <c r="L91" s="19"/>
      <c r="M91" s="19"/>
      <c r="N91" s="19"/>
      <c r="O91" s="59">
        <f>H91*J91</f>
        <v>1E-3</v>
      </c>
    </row>
    <row r="92" spans="1:15" ht="24.75" customHeight="1">
      <c r="A92" s="86" t="s">
        <v>147</v>
      </c>
      <c r="B92" s="28" t="s">
        <v>160</v>
      </c>
      <c r="C92" s="22" t="s">
        <v>44</v>
      </c>
      <c r="D92" s="15" t="s">
        <v>58</v>
      </c>
      <c r="E92" s="64">
        <v>45605</v>
      </c>
      <c r="F92" s="29">
        <v>45611</v>
      </c>
      <c r="G92" s="15" t="s">
        <v>45</v>
      </c>
      <c r="H92" s="30">
        <v>0.05</v>
      </c>
      <c r="I92" s="34" t="s">
        <v>46</v>
      </c>
      <c r="J92" s="30">
        <v>0.9</v>
      </c>
      <c r="K92" s="28"/>
      <c r="L92" s="28"/>
      <c r="M92" s="15"/>
      <c r="N92" s="28"/>
      <c r="O92" s="59">
        <f>H92*J92</f>
        <v>4.5000000000000005E-2</v>
      </c>
    </row>
    <row r="93" spans="1:15" ht="24.75" customHeight="1">
      <c r="A93" s="63" t="s">
        <v>161</v>
      </c>
      <c r="B93" s="15" t="s">
        <v>162</v>
      </c>
      <c r="C93" s="15" t="s">
        <v>44</v>
      </c>
      <c r="D93" s="15" t="s">
        <v>65</v>
      </c>
      <c r="E93" s="16">
        <v>45536</v>
      </c>
      <c r="F93" s="16">
        <v>45538</v>
      </c>
      <c r="G93" s="94" t="s">
        <v>23</v>
      </c>
      <c r="H93" s="18">
        <v>0.05</v>
      </c>
      <c r="I93" s="15" t="s">
        <v>20</v>
      </c>
      <c r="J93" s="18">
        <v>1</v>
      </c>
      <c r="K93" s="15"/>
      <c r="L93" s="15"/>
      <c r="M93" s="15"/>
      <c r="N93" s="15"/>
      <c r="O93" s="91">
        <f>H93*J93</f>
        <v>0.05</v>
      </c>
    </row>
    <row r="94" spans="1:15" ht="24.75" customHeight="1">
      <c r="A94" s="63" t="s">
        <v>161</v>
      </c>
      <c r="B94" s="19" t="s">
        <v>163</v>
      </c>
      <c r="C94" s="19" t="s">
        <v>65</v>
      </c>
      <c r="D94" s="19" t="s">
        <v>65</v>
      </c>
      <c r="E94" s="20">
        <v>45561</v>
      </c>
      <c r="F94" s="20">
        <v>45575</v>
      </c>
      <c r="G94" s="96" t="s">
        <v>26</v>
      </c>
      <c r="H94" s="21">
        <v>0.1</v>
      </c>
      <c r="I94" s="19" t="s">
        <v>46</v>
      </c>
      <c r="J94" s="21">
        <v>0.9</v>
      </c>
      <c r="K94" s="19"/>
      <c r="L94" s="19"/>
      <c r="M94" s="19"/>
      <c r="N94" s="19"/>
      <c r="O94" s="59">
        <f>H94*J94</f>
        <v>9.0000000000000011E-2</v>
      </c>
    </row>
    <row r="95" spans="1:15" ht="24.75" customHeight="1">
      <c r="A95" s="63" t="s">
        <v>161</v>
      </c>
      <c r="B95" s="19" t="s">
        <v>164</v>
      </c>
      <c r="C95" s="19" t="s">
        <v>65</v>
      </c>
      <c r="D95" s="19" t="s">
        <v>65</v>
      </c>
      <c r="E95" s="20">
        <v>45561</v>
      </c>
      <c r="F95" s="20">
        <v>45575</v>
      </c>
      <c r="G95" s="96" t="s">
        <v>26</v>
      </c>
      <c r="H95" s="21">
        <v>0.05</v>
      </c>
      <c r="I95" s="19" t="s">
        <v>27</v>
      </c>
      <c r="J95" s="21">
        <v>0.01</v>
      </c>
      <c r="K95" s="19"/>
      <c r="L95" s="19"/>
      <c r="M95" s="19"/>
      <c r="N95" s="19"/>
      <c r="O95" s="59">
        <f>H95*J95</f>
        <v>5.0000000000000001E-4</v>
      </c>
    </row>
    <row r="96" spans="1:15" ht="24.75" customHeight="1">
      <c r="A96" s="84" t="s">
        <v>161</v>
      </c>
      <c r="B96" s="65" t="s">
        <v>165</v>
      </c>
      <c r="C96" s="65" t="s">
        <v>17</v>
      </c>
      <c r="D96" s="65" t="s">
        <v>65</v>
      </c>
      <c r="E96" s="68">
        <v>45555</v>
      </c>
      <c r="F96" s="68">
        <v>45573</v>
      </c>
      <c r="G96" s="95" t="s">
        <v>23</v>
      </c>
      <c r="H96" s="70">
        <v>0.05</v>
      </c>
      <c r="I96" s="65" t="s">
        <v>20</v>
      </c>
      <c r="J96" s="70">
        <v>1</v>
      </c>
      <c r="K96" s="65"/>
      <c r="L96" s="65"/>
      <c r="M96" s="65"/>
      <c r="N96" s="65"/>
      <c r="O96" s="90">
        <f>H96*J96</f>
        <v>0.05</v>
      </c>
    </row>
    <row r="97" spans="1:15" ht="24.75" customHeight="1">
      <c r="A97" s="63" t="s">
        <v>161</v>
      </c>
      <c r="B97" s="15" t="s">
        <v>166</v>
      </c>
      <c r="C97" s="15" t="s">
        <v>44</v>
      </c>
      <c r="D97" s="15" t="s">
        <v>65</v>
      </c>
      <c r="E97" s="16">
        <v>45555</v>
      </c>
      <c r="F97" s="16">
        <v>45573</v>
      </c>
      <c r="G97" s="94" t="s">
        <v>23</v>
      </c>
      <c r="H97" s="18">
        <v>0.05</v>
      </c>
      <c r="I97" s="15" t="s">
        <v>20</v>
      </c>
      <c r="J97" s="18">
        <v>1</v>
      </c>
      <c r="K97" s="15"/>
      <c r="L97" s="15"/>
      <c r="M97" s="15"/>
      <c r="N97" s="15"/>
      <c r="O97" s="91">
        <f>H97*J97</f>
        <v>0.05</v>
      </c>
    </row>
    <row r="98" spans="1:15" ht="24.75" customHeight="1">
      <c r="A98" s="84" t="s">
        <v>161</v>
      </c>
      <c r="B98" s="65" t="s">
        <v>167</v>
      </c>
      <c r="C98" s="65" t="s">
        <v>17</v>
      </c>
      <c r="D98" s="65" t="s">
        <v>65</v>
      </c>
      <c r="E98" s="68">
        <v>45547</v>
      </c>
      <c r="F98" s="68">
        <v>45563</v>
      </c>
      <c r="G98" s="95" t="s">
        <v>23</v>
      </c>
      <c r="H98" s="70">
        <v>0.04</v>
      </c>
      <c r="I98" s="65" t="s">
        <v>20</v>
      </c>
      <c r="J98" s="70">
        <v>1</v>
      </c>
      <c r="K98" s="65"/>
      <c r="L98" s="65"/>
      <c r="M98" s="65"/>
      <c r="N98" s="65"/>
      <c r="O98" s="90">
        <f>H98*J98</f>
        <v>0.04</v>
      </c>
    </row>
    <row r="99" spans="1:15" ht="24.75" customHeight="1">
      <c r="A99" s="84" t="s">
        <v>161</v>
      </c>
      <c r="B99" s="65" t="s">
        <v>168</v>
      </c>
      <c r="C99" s="65" t="s">
        <v>17</v>
      </c>
      <c r="D99" s="65" t="s">
        <v>65</v>
      </c>
      <c r="E99" s="68">
        <v>45547</v>
      </c>
      <c r="F99" s="68">
        <v>45563</v>
      </c>
      <c r="G99" s="95" t="s">
        <v>23</v>
      </c>
      <c r="H99" s="70">
        <v>0.04</v>
      </c>
      <c r="I99" s="65" t="s">
        <v>20</v>
      </c>
      <c r="J99" s="70">
        <v>1</v>
      </c>
      <c r="K99" s="65"/>
      <c r="L99" s="65"/>
      <c r="M99" s="65"/>
      <c r="N99" s="65"/>
      <c r="O99" s="90">
        <f>H99*J99</f>
        <v>0.04</v>
      </c>
    </row>
    <row r="100" spans="1:15" ht="24.75" customHeight="1">
      <c r="A100" s="84" t="s">
        <v>161</v>
      </c>
      <c r="B100" s="65" t="s">
        <v>169</v>
      </c>
      <c r="C100" s="65" t="s">
        <v>17</v>
      </c>
      <c r="D100" s="65" t="s">
        <v>65</v>
      </c>
      <c r="E100" s="68">
        <v>45553</v>
      </c>
      <c r="F100" s="68">
        <v>45561</v>
      </c>
      <c r="G100" s="95" t="s">
        <v>23</v>
      </c>
      <c r="H100" s="70">
        <v>0.05</v>
      </c>
      <c r="I100" s="65" t="s">
        <v>20</v>
      </c>
      <c r="J100" s="70">
        <v>1</v>
      </c>
      <c r="K100" s="65"/>
      <c r="L100" s="65"/>
      <c r="M100" s="65"/>
      <c r="N100" s="65"/>
      <c r="O100" s="90">
        <f>H100*J100</f>
        <v>0.05</v>
      </c>
    </row>
    <row r="101" spans="1:15" ht="24.75" customHeight="1">
      <c r="A101" s="84" t="s">
        <v>161</v>
      </c>
      <c r="B101" s="66" t="s">
        <v>170</v>
      </c>
      <c r="C101" s="65" t="s">
        <v>17</v>
      </c>
      <c r="D101" s="65" t="s">
        <v>65</v>
      </c>
      <c r="E101" s="68">
        <v>45555</v>
      </c>
      <c r="F101" s="68">
        <v>45561</v>
      </c>
      <c r="G101" s="95" t="s">
        <v>23</v>
      </c>
      <c r="H101" s="70">
        <v>0.02</v>
      </c>
      <c r="I101" s="65" t="s">
        <v>20</v>
      </c>
      <c r="J101" s="70">
        <v>1</v>
      </c>
      <c r="K101" s="65"/>
      <c r="L101" s="65"/>
      <c r="M101" s="65"/>
      <c r="N101" s="65"/>
      <c r="O101" s="90">
        <f>H101*J101</f>
        <v>0.02</v>
      </c>
    </row>
    <row r="102" spans="1:15" ht="24.75" customHeight="1">
      <c r="A102" s="63" t="s">
        <v>161</v>
      </c>
      <c r="B102" s="15" t="s">
        <v>171</v>
      </c>
      <c r="C102" s="15" t="s">
        <v>44</v>
      </c>
      <c r="D102" s="15" t="s">
        <v>65</v>
      </c>
      <c r="E102" s="16">
        <v>45569</v>
      </c>
      <c r="F102" s="16">
        <v>45570</v>
      </c>
      <c r="G102" s="94" t="s">
        <v>23</v>
      </c>
      <c r="H102" s="18">
        <v>0.05</v>
      </c>
      <c r="I102" s="15" t="s">
        <v>20</v>
      </c>
      <c r="J102" s="18">
        <v>1</v>
      </c>
      <c r="K102" s="15"/>
      <c r="L102" s="15"/>
      <c r="M102" s="15"/>
      <c r="N102" s="15"/>
      <c r="O102" s="91">
        <f>H102*J102</f>
        <v>0.05</v>
      </c>
    </row>
    <row r="103" spans="1:15" ht="24.75" customHeight="1">
      <c r="A103" s="86" t="s">
        <v>161</v>
      </c>
      <c r="B103" s="22" t="s">
        <v>172</v>
      </c>
      <c r="C103" s="28" t="s">
        <v>64</v>
      </c>
      <c r="D103" s="22" t="s">
        <v>65</v>
      </c>
      <c r="E103" s="23">
        <v>45558</v>
      </c>
      <c r="F103" s="23">
        <v>45572</v>
      </c>
      <c r="G103" s="94" t="s">
        <v>23</v>
      </c>
      <c r="H103" s="24">
        <v>1</v>
      </c>
      <c r="I103" s="15" t="s">
        <v>20</v>
      </c>
      <c r="J103" s="24">
        <v>0.9</v>
      </c>
      <c r="K103" s="22"/>
      <c r="L103" s="22"/>
      <c r="M103" s="22"/>
      <c r="N103" s="22"/>
      <c r="O103" s="59">
        <f>H103*J103</f>
        <v>0.9</v>
      </c>
    </row>
    <row r="104" spans="1:15" ht="24.75" customHeight="1">
      <c r="A104" s="86" t="s">
        <v>161</v>
      </c>
      <c r="B104" s="22" t="s">
        <v>173</v>
      </c>
      <c r="C104" s="22" t="s">
        <v>174</v>
      </c>
      <c r="D104" s="22" t="s">
        <v>65</v>
      </c>
      <c r="E104" s="23">
        <v>45558</v>
      </c>
      <c r="F104" s="23">
        <v>45575</v>
      </c>
      <c r="G104" s="22" t="s">
        <v>23</v>
      </c>
      <c r="H104" s="24">
        <v>0.05</v>
      </c>
      <c r="I104" s="22" t="s">
        <v>84</v>
      </c>
      <c r="J104" s="24">
        <v>1</v>
      </c>
      <c r="K104" s="22"/>
      <c r="L104" s="22"/>
      <c r="M104" s="22"/>
      <c r="N104" s="22"/>
      <c r="O104" s="59">
        <f>H104*J104</f>
        <v>0.05</v>
      </c>
    </row>
    <row r="105" spans="1:15" s="78" customFormat="1" ht="24.75" customHeight="1">
      <c r="A105" s="86" t="s">
        <v>161</v>
      </c>
      <c r="B105" s="22" t="s">
        <v>175</v>
      </c>
      <c r="C105" s="22" t="s">
        <v>17</v>
      </c>
      <c r="D105" s="22" t="s">
        <v>65</v>
      </c>
      <c r="E105" s="23">
        <v>45658</v>
      </c>
      <c r="F105" s="23">
        <v>45658</v>
      </c>
      <c r="G105" s="22" t="s">
        <v>23</v>
      </c>
      <c r="H105" s="24"/>
      <c r="I105" s="22" t="s">
        <v>20</v>
      </c>
      <c r="J105" s="24">
        <v>1</v>
      </c>
      <c r="K105" s="22"/>
      <c r="L105" s="22"/>
      <c r="M105" s="22"/>
      <c r="N105" s="22"/>
      <c r="O105" s="59">
        <f>H105*J105</f>
        <v>0</v>
      </c>
    </row>
    <row r="106" spans="1:15" ht="24.75" customHeight="1">
      <c r="A106" s="63" t="s">
        <v>161</v>
      </c>
      <c r="B106" s="15" t="s">
        <v>176</v>
      </c>
      <c r="C106" s="15" t="s">
        <v>44</v>
      </c>
      <c r="D106" s="15" t="s">
        <v>65</v>
      </c>
      <c r="E106" s="16">
        <v>45573</v>
      </c>
      <c r="F106" s="16">
        <v>45575</v>
      </c>
      <c r="G106" s="17" t="s">
        <v>23</v>
      </c>
      <c r="H106" s="18">
        <v>0.05</v>
      </c>
      <c r="I106" s="15" t="s">
        <v>20</v>
      </c>
      <c r="J106" s="18">
        <v>1</v>
      </c>
      <c r="K106" s="15"/>
      <c r="L106" s="15"/>
      <c r="M106" s="15"/>
      <c r="N106" s="15"/>
      <c r="O106" s="91">
        <f>H106*J106</f>
        <v>0.05</v>
      </c>
    </row>
    <row r="107" spans="1:15" ht="24.75" customHeight="1">
      <c r="A107" s="63" t="s">
        <v>161</v>
      </c>
      <c r="B107" s="19" t="s">
        <v>177</v>
      </c>
      <c r="C107" s="19" t="s">
        <v>31</v>
      </c>
      <c r="D107" s="19" t="s">
        <v>65</v>
      </c>
      <c r="E107" s="20">
        <f>F106</f>
        <v>45575</v>
      </c>
      <c r="F107" s="35">
        <v>45585</v>
      </c>
      <c r="G107" s="19" t="s">
        <v>26</v>
      </c>
      <c r="H107" s="21">
        <v>0.05</v>
      </c>
      <c r="I107" s="19" t="s">
        <v>27</v>
      </c>
      <c r="J107" s="21">
        <v>0.01</v>
      </c>
      <c r="K107" s="19"/>
      <c r="L107" s="19"/>
      <c r="M107" s="19"/>
      <c r="N107" s="19"/>
      <c r="O107" s="59">
        <f>H107*J107</f>
        <v>5.0000000000000001E-4</v>
      </c>
    </row>
    <row r="108" spans="1:15" ht="24.75" customHeight="1">
      <c r="A108" s="58" t="s">
        <v>161</v>
      </c>
      <c r="B108" s="28" t="s">
        <v>178</v>
      </c>
      <c r="C108" s="28" t="s">
        <v>25</v>
      </c>
      <c r="D108" s="19" t="s">
        <v>65</v>
      </c>
      <c r="E108" s="29">
        <v>45580</v>
      </c>
      <c r="F108" s="29">
        <v>45602</v>
      </c>
      <c r="G108" s="36" t="s">
        <v>26</v>
      </c>
      <c r="H108" s="30">
        <v>0.05</v>
      </c>
      <c r="I108" s="15" t="s">
        <v>20</v>
      </c>
      <c r="J108" s="30">
        <v>1</v>
      </c>
      <c r="K108" s="28"/>
      <c r="L108" s="28"/>
      <c r="M108" s="15"/>
      <c r="N108" s="28"/>
      <c r="O108" s="59">
        <f>H108*J108</f>
        <v>0.05</v>
      </c>
    </row>
    <row r="109" spans="1:15" ht="33.75" customHeight="1">
      <c r="A109" s="58" t="s">
        <v>161</v>
      </c>
      <c r="B109" s="39" t="s">
        <v>179</v>
      </c>
      <c r="C109" s="22" t="s">
        <v>174</v>
      </c>
      <c r="D109" s="22" t="s">
        <v>65</v>
      </c>
      <c r="E109" s="29">
        <v>45576</v>
      </c>
      <c r="F109" s="29">
        <v>45600</v>
      </c>
      <c r="G109" s="17" t="s">
        <v>23</v>
      </c>
      <c r="H109" s="30">
        <v>0.05</v>
      </c>
      <c r="I109" s="15" t="s">
        <v>20</v>
      </c>
      <c r="J109" s="30">
        <v>1</v>
      </c>
      <c r="K109" s="28"/>
      <c r="L109" s="28"/>
      <c r="M109" s="15"/>
      <c r="N109" s="28"/>
      <c r="O109" s="59">
        <f>H109*J109</f>
        <v>0.05</v>
      </c>
    </row>
    <row r="110" spans="1:15" s="112" customFormat="1" ht="24.75" customHeight="1">
      <c r="A110" s="107" t="s">
        <v>161</v>
      </c>
      <c r="B110" s="108" t="s">
        <v>180</v>
      </c>
      <c r="C110" s="108" t="s">
        <v>44</v>
      </c>
      <c r="D110" s="108" t="s">
        <v>65</v>
      </c>
      <c r="E110" s="109">
        <v>45602</v>
      </c>
      <c r="F110" s="109">
        <v>45607</v>
      </c>
      <c r="G110" s="108" t="s">
        <v>23</v>
      </c>
      <c r="H110" s="110">
        <v>0.05</v>
      </c>
      <c r="I110" s="108" t="s">
        <v>20</v>
      </c>
      <c r="J110" s="110">
        <v>1</v>
      </c>
      <c r="K110" s="108"/>
      <c r="L110" s="108"/>
      <c r="M110" s="108"/>
      <c r="N110" s="108"/>
      <c r="O110" s="111">
        <f>H110*J110</f>
        <v>0.05</v>
      </c>
    </row>
    <row r="111" spans="1:15" ht="24.75" customHeight="1">
      <c r="A111" s="58" t="s">
        <v>161</v>
      </c>
      <c r="B111" s="28" t="s">
        <v>181</v>
      </c>
      <c r="C111" s="28" t="s">
        <v>25</v>
      </c>
      <c r="D111" s="19" t="s">
        <v>65</v>
      </c>
      <c r="E111" s="29">
        <v>45604</v>
      </c>
      <c r="F111" s="29">
        <v>45608</v>
      </c>
      <c r="G111" s="19" t="s">
        <v>26</v>
      </c>
      <c r="H111" s="30">
        <v>0.05</v>
      </c>
      <c r="I111" s="28" t="s">
        <v>20</v>
      </c>
      <c r="J111" s="30">
        <v>1</v>
      </c>
      <c r="K111" s="28"/>
      <c r="L111" s="28"/>
      <c r="M111" s="15"/>
      <c r="N111" s="28"/>
      <c r="O111" s="59">
        <f>H111*J111</f>
        <v>0.05</v>
      </c>
    </row>
    <row r="112" spans="1:15" ht="24.75" customHeight="1">
      <c r="A112" s="63" t="s">
        <v>182</v>
      </c>
      <c r="B112" s="15" t="s">
        <v>183</v>
      </c>
      <c r="C112" s="15" t="s">
        <v>44</v>
      </c>
      <c r="D112" s="15" t="s">
        <v>18</v>
      </c>
      <c r="E112" s="16">
        <v>45555</v>
      </c>
      <c r="F112" s="16">
        <v>45560</v>
      </c>
      <c r="G112" s="17" t="s">
        <v>23</v>
      </c>
      <c r="H112" s="18">
        <v>0.05</v>
      </c>
      <c r="I112" s="15" t="s">
        <v>20</v>
      </c>
      <c r="J112" s="18">
        <v>1</v>
      </c>
      <c r="K112" s="15"/>
      <c r="L112" s="15"/>
      <c r="M112" s="15"/>
      <c r="N112" s="15"/>
      <c r="O112" s="91">
        <f>H112*J112</f>
        <v>0.05</v>
      </c>
    </row>
    <row r="113" spans="1:15" ht="24.75" customHeight="1">
      <c r="A113" s="58" t="s">
        <v>182</v>
      </c>
      <c r="B113" s="19" t="s">
        <v>184</v>
      </c>
      <c r="C113" s="15" t="s">
        <v>18</v>
      </c>
      <c r="D113" s="15" t="s">
        <v>18</v>
      </c>
      <c r="E113" s="20">
        <f>F112</f>
        <v>45560</v>
      </c>
      <c r="F113" s="20">
        <f>E113+10</f>
        <v>45570</v>
      </c>
      <c r="G113" s="19" t="s">
        <v>26</v>
      </c>
      <c r="H113" s="30">
        <v>0.05</v>
      </c>
      <c r="I113" s="25" t="s">
        <v>46</v>
      </c>
      <c r="J113" s="21">
        <v>0.3</v>
      </c>
      <c r="K113" s="19"/>
      <c r="L113" s="19"/>
      <c r="M113" s="19"/>
      <c r="N113" s="19"/>
      <c r="O113" s="59">
        <f>H113*J113</f>
        <v>1.4999999999999999E-2</v>
      </c>
    </row>
    <row r="114" spans="1:15" ht="24.75" customHeight="1">
      <c r="A114" s="58" t="s">
        <v>182</v>
      </c>
      <c r="B114" s="19" t="s">
        <v>185</v>
      </c>
      <c r="C114" s="15" t="s">
        <v>18</v>
      </c>
      <c r="D114" s="15" t="s">
        <v>18</v>
      </c>
      <c r="E114" s="20">
        <f>F113</f>
        <v>45570</v>
      </c>
      <c r="F114" s="20">
        <f>E114+15</f>
        <v>45585</v>
      </c>
      <c r="G114" s="19" t="s">
        <v>26</v>
      </c>
      <c r="H114" s="30">
        <v>0.05</v>
      </c>
      <c r="I114" s="19" t="s">
        <v>27</v>
      </c>
      <c r="J114" s="21">
        <v>0.01</v>
      </c>
      <c r="K114" s="19"/>
      <c r="L114" s="19"/>
      <c r="M114" s="19"/>
      <c r="N114" s="19"/>
      <c r="O114" s="59">
        <f>H114*J114</f>
        <v>5.0000000000000001E-4</v>
      </c>
    </row>
    <row r="115" spans="1:15" ht="24.75" customHeight="1">
      <c r="A115" s="58" t="s">
        <v>182</v>
      </c>
      <c r="B115" s="19" t="s">
        <v>186</v>
      </c>
      <c r="C115" s="19" t="s">
        <v>31</v>
      </c>
      <c r="D115" s="15" t="s">
        <v>18</v>
      </c>
      <c r="E115" s="20">
        <v>45595</v>
      </c>
      <c r="F115" s="20">
        <v>45595</v>
      </c>
      <c r="G115" s="19" t="s">
        <v>26</v>
      </c>
      <c r="H115" s="30">
        <v>0.05</v>
      </c>
      <c r="I115" s="19" t="s">
        <v>27</v>
      </c>
      <c r="J115" s="21">
        <v>0.01</v>
      </c>
      <c r="K115" s="19"/>
      <c r="L115" s="19"/>
      <c r="M115" s="19"/>
      <c r="N115" s="19"/>
      <c r="O115" s="59">
        <f>H115*J115</f>
        <v>5.0000000000000001E-4</v>
      </c>
    </row>
    <row r="116" spans="1:15" ht="24.75" customHeight="1">
      <c r="A116" s="63" t="s">
        <v>182</v>
      </c>
      <c r="B116" s="15" t="s">
        <v>187</v>
      </c>
      <c r="C116" s="15" t="s">
        <v>17</v>
      </c>
      <c r="D116" s="15" t="s">
        <v>18</v>
      </c>
      <c r="E116" s="16">
        <v>45556</v>
      </c>
      <c r="F116" s="16">
        <v>45580</v>
      </c>
      <c r="G116" s="17" t="s">
        <v>23</v>
      </c>
      <c r="H116" s="18">
        <v>0.05</v>
      </c>
      <c r="I116" s="15" t="s">
        <v>20</v>
      </c>
      <c r="J116" s="18">
        <v>1</v>
      </c>
      <c r="K116" s="15" t="s">
        <v>21</v>
      </c>
      <c r="L116" s="15" t="s">
        <v>22</v>
      </c>
      <c r="M116" s="15" t="s">
        <v>26</v>
      </c>
      <c r="N116" s="15"/>
      <c r="O116" s="91">
        <f>H116*J116</f>
        <v>0.05</v>
      </c>
    </row>
    <row r="117" spans="1:15" ht="24.75" customHeight="1">
      <c r="A117" s="63" t="s">
        <v>182</v>
      </c>
      <c r="B117" s="15" t="s">
        <v>188</v>
      </c>
      <c r="C117" s="15" t="s">
        <v>17</v>
      </c>
      <c r="D117" s="15" t="s">
        <v>18</v>
      </c>
      <c r="E117" s="16">
        <v>45555</v>
      </c>
      <c r="F117" s="16">
        <v>45580</v>
      </c>
      <c r="G117" s="17" t="s">
        <v>23</v>
      </c>
      <c r="H117" s="18">
        <v>0.05</v>
      </c>
      <c r="I117" s="15" t="s">
        <v>20</v>
      </c>
      <c r="J117" s="18">
        <v>1</v>
      </c>
      <c r="K117" s="15" t="s">
        <v>21</v>
      </c>
      <c r="L117" s="15" t="s">
        <v>22</v>
      </c>
      <c r="M117" s="15" t="s">
        <v>26</v>
      </c>
      <c r="N117" s="15"/>
      <c r="O117" s="91">
        <f>H117*J117</f>
        <v>0.05</v>
      </c>
    </row>
    <row r="118" spans="1:15" ht="58.5" customHeight="1">
      <c r="A118" s="63" t="s">
        <v>182</v>
      </c>
      <c r="B118" s="15" t="s">
        <v>189</v>
      </c>
      <c r="C118" s="15" t="s">
        <v>17</v>
      </c>
      <c r="D118" s="15" t="s">
        <v>18</v>
      </c>
      <c r="E118" s="16">
        <v>45556</v>
      </c>
      <c r="F118" s="16">
        <v>45580</v>
      </c>
      <c r="G118" s="17" t="s">
        <v>23</v>
      </c>
      <c r="H118" s="18">
        <v>0.05</v>
      </c>
      <c r="I118" s="15" t="s">
        <v>20</v>
      </c>
      <c r="J118" s="18">
        <v>1</v>
      </c>
      <c r="K118" s="15" t="s">
        <v>21</v>
      </c>
      <c r="L118" s="15" t="s">
        <v>22</v>
      </c>
      <c r="M118" s="15" t="s">
        <v>26</v>
      </c>
      <c r="N118" s="15"/>
      <c r="O118" s="91">
        <f>H118*J118</f>
        <v>0.05</v>
      </c>
    </row>
    <row r="119" spans="1:15" ht="24.75" customHeight="1">
      <c r="A119" s="63" t="s">
        <v>182</v>
      </c>
      <c r="B119" s="15" t="s">
        <v>190</v>
      </c>
      <c r="C119" s="15" t="s">
        <v>17</v>
      </c>
      <c r="D119" s="15" t="s">
        <v>18</v>
      </c>
      <c r="E119" s="16">
        <v>45555</v>
      </c>
      <c r="F119" s="16">
        <v>45580</v>
      </c>
      <c r="G119" s="17" t="s">
        <v>23</v>
      </c>
      <c r="H119" s="18">
        <v>0.05</v>
      </c>
      <c r="I119" s="15" t="s">
        <v>20</v>
      </c>
      <c r="J119" s="18">
        <v>1</v>
      </c>
      <c r="K119" s="15" t="s">
        <v>21</v>
      </c>
      <c r="L119" s="15" t="s">
        <v>22</v>
      </c>
      <c r="M119" s="15" t="s">
        <v>26</v>
      </c>
      <c r="N119" s="15"/>
      <c r="O119" s="91">
        <f>H119*J119</f>
        <v>0.05</v>
      </c>
    </row>
    <row r="120" spans="1:15" ht="24.75" customHeight="1">
      <c r="A120" s="63" t="s">
        <v>182</v>
      </c>
      <c r="B120" s="15" t="s">
        <v>191</v>
      </c>
      <c r="C120" s="15" t="s">
        <v>17</v>
      </c>
      <c r="D120" s="15" t="s">
        <v>18</v>
      </c>
      <c r="E120" s="16">
        <v>45556</v>
      </c>
      <c r="F120" s="16">
        <v>45580</v>
      </c>
      <c r="G120" s="17" t="s">
        <v>23</v>
      </c>
      <c r="H120" s="18">
        <v>0.05</v>
      </c>
      <c r="I120" s="15" t="s">
        <v>20</v>
      </c>
      <c r="J120" s="18">
        <v>1</v>
      </c>
      <c r="K120" s="15" t="s">
        <v>21</v>
      </c>
      <c r="L120" s="15" t="s">
        <v>22</v>
      </c>
      <c r="M120" s="15" t="s">
        <v>26</v>
      </c>
      <c r="N120" s="15"/>
      <c r="O120" s="91">
        <f>H120*J120</f>
        <v>0.05</v>
      </c>
    </row>
    <row r="121" spans="1:15" ht="52.5" customHeight="1">
      <c r="A121" s="63" t="s">
        <v>182</v>
      </c>
      <c r="B121" s="15" t="s">
        <v>192</v>
      </c>
      <c r="C121" s="15" t="s">
        <v>17</v>
      </c>
      <c r="D121" s="15" t="s">
        <v>18</v>
      </c>
      <c r="E121" s="16">
        <v>45555</v>
      </c>
      <c r="F121" s="16">
        <v>45580</v>
      </c>
      <c r="G121" s="17" t="s">
        <v>23</v>
      </c>
      <c r="H121" s="18">
        <v>0.05</v>
      </c>
      <c r="I121" s="17" t="s">
        <v>20</v>
      </c>
      <c r="J121" s="18">
        <v>1</v>
      </c>
      <c r="K121" s="15" t="s">
        <v>21</v>
      </c>
      <c r="L121" s="15" t="s">
        <v>22</v>
      </c>
      <c r="M121" s="15" t="s">
        <v>26</v>
      </c>
      <c r="N121" s="15"/>
      <c r="O121" s="91">
        <f>H121*J121</f>
        <v>0.05</v>
      </c>
    </row>
    <row r="122" spans="1:15" s="73" customFormat="1" ht="28.5" customHeight="1">
      <c r="A122" s="63" t="s">
        <v>182</v>
      </c>
      <c r="B122" s="15" t="s">
        <v>193</v>
      </c>
      <c r="C122" s="15" t="s">
        <v>17</v>
      </c>
      <c r="D122" s="15" t="s">
        <v>18</v>
      </c>
      <c r="E122" s="16">
        <v>45631</v>
      </c>
      <c r="F122" s="16">
        <v>45633</v>
      </c>
      <c r="G122" s="17" t="s">
        <v>23</v>
      </c>
      <c r="H122" s="18">
        <v>0.15</v>
      </c>
      <c r="I122" s="17" t="s">
        <v>20</v>
      </c>
      <c r="J122" s="18">
        <v>1</v>
      </c>
      <c r="K122" s="15" t="s">
        <v>194</v>
      </c>
      <c r="L122" s="15" t="s">
        <v>195</v>
      </c>
      <c r="M122" s="15" t="s">
        <v>19</v>
      </c>
      <c r="N122" s="113">
        <v>45631</v>
      </c>
      <c r="O122" s="91">
        <f>H122*J122</f>
        <v>0.15</v>
      </c>
    </row>
    <row r="123" spans="1:15" s="78" customFormat="1" ht="28.5" customHeight="1">
      <c r="A123" s="86" t="s">
        <v>182</v>
      </c>
      <c r="B123" s="22" t="s">
        <v>196</v>
      </c>
      <c r="C123" s="22" t="s">
        <v>17</v>
      </c>
      <c r="D123" s="22" t="s">
        <v>18</v>
      </c>
      <c r="E123" s="23">
        <v>45639</v>
      </c>
      <c r="F123" s="23">
        <v>45640</v>
      </c>
      <c r="G123" s="25" t="s">
        <v>26</v>
      </c>
      <c r="H123" s="24">
        <v>0.05</v>
      </c>
      <c r="I123" s="25" t="s">
        <v>46</v>
      </c>
      <c r="J123" s="24">
        <v>1</v>
      </c>
      <c r="K123" s="22" t="s">
        <v>197</v>
      </c>
      <c r="L123" s="22" t="s">
        <v>18</v>
      </c>
      <c r="M123" s="22" t="s">
        <v>23</v>
      </c>
      <c r="N123" s="22"/>
      <c r="O123" s="59">
        <f>H123*J123</f>
        <v>0.05</v>
      </c>
    </row>
    <row r="124" spans="1:15" s="73" customFormat="1" ht="28.5" customHeight="1">
      <c r="A124" s="63" t="s">
        <v>182</v>
      </c>
      <c r="B124" s="15" t="s">
        <v>198</v>
      </c>
      <c r="C124" s="15" t="s">
        <v>17</v>
      </c>
      <c r="D124" s="15" t="s">
        <v>18</v>
      </c>
      <c r="E124" s="16">
        <v>45630</v>
      </c>
      <c r="F124" s="16">
        <v>45631</v>
      </c>
      <c r="G124" s="17" t="s">
        <v>23</v>
      </c>
      <c r="H124" s="18">
        <v>0.1</v>
      </c>
      <c r="I124" s="17" t="s">
        <v>20</v>
      </c>
      <c r="J124" s="18">
        <v>1</v>
      </c>
      <c r="K124" s="15"/>
      <c r="L124" s="15"/>
      <c r="M124" s="15"/>
      <c r="N124" s="15"/>
      <c r="O124" s="91">
        <f>H124*J124</f>
        <v>0.1</v>
      </c>
    </row>
    <row r="125" spans="1:15" ht="24" customHeight="1">
      <c r="A125" s="63" t="s">
        <v>182</v>
      </c>
      <c r="B125" s="15" t="s">
        <v>199</v>
      </c>
      <c r="C125" s="15" t="s">
        <v>17</v>
      </c>
      <c r="D125" s="15" t="s">
        <v>18</v>
      </c>
      <c r="E125" s="16">
        <v>45555</v>
      </c>
      <c r="F125" s="16">
        <v>45580</v>
      </c>
      <c r="G125" s="17" t="s">
        <v>23</v>
      </c>
      <c r="H125" s="18">
        <v>0.05</v>
      </c>
      <c r="I125" s="17" t="s">
        <v>20</v>
      </c>
      <c r="J125" s="18">
        <v>1</v>
      </c>
      <c r="K125" s="15" t="s">
        <v>21</v>
      </c>
      <c r="L125" s="15" t="s">
        <v>22</v>
      </c>
      <c r="M125" s="22" t="s">
        <v>23</v>
      </c>
      <c r="N125" s="15"/>
      <c r="O125" s="91">
        <f>H125*J125</f>
        <v>0.05</v>
      </c>
    </row>
    <row r="126" spans="1:15" s="73" customFormat="1" ht="24.75" customHeight="1">
      <c r="A126" s="63" t="s">
        <v>182</v>
      </c>
      <c r="B126" s="15" t="s">
        <v>200</v>
      </c>
      <c r="C126" s="15" t="s">
        <v>17</v>
      </c>
      <c r="D126" s="15" t="s">
        <v>18</v>
      </c>
      <c r="E126" s="16">
        <v>45556</v>
      </c>
      <c r="F126" s="16">
        <v>45580</v>
      </c>
      <c r="G126" s="17" t="s">
        <v>23</v>
      </c>
      <c r="H126" s="18">
        <v>0.05</v>
      </c>
      <c r="I126" s="17" t="s">
        <v>20</v>
      </c>
      <c r="J126" s="18">
        <v>1</v>
      </c>
      <c r="K126" s="15" t="s">
        <v>21</v>
      </c>
      <c r="L126" s="15" t="s">
        <v>22</v>
      </c>
      <c r="M126" s="22" t="s">
        <v>23</v>
      </c>
      <c r="N126" s="15"/>
      <c r="O126" s="91">
        <f>H126*J126</f>
        <v>0.05</v>
      </c>
    </row>
    <row r="127" spans="1:15" s="106" customFormat="1" ht="36.75" customHeight="1">
      <c r="A127" s="101" t="s">
        <v>182</v>
      </c>
      <c r="B127" s="37" t="s">
        <v>201</v>
      </c>
      <c r="C127" s="37" t="s">
        <v>44</v>
      </c>
      <c r="D127" s="15" t="s">
        <v>18</v>
      </c>
      <c r="E127" s="102">
        <v>45595</v>
      </c>
      <c r="F127" s="102">
        <v>45622</v>
      </c>
      <c r="G127" s="17" t="s">
        <v>23</v>
      </c>
      <c r="H127" s="103">
        <v>0.05</v>
      </c>
      <c r="I127" s="104" t="s">
        <v>20</v>
      </c>
      <c r="J127" s="103">
        <v>1</v>
      </c>
      <c r="K127" s="37"/>
      <c r="L127" s="37"/>
      <c r="M127" s="37"/>
      <c r="N127" s="37"/>
      <c r="O127" s="105">
        <f>H127*J127</f>
        <v>0.05</v>
      </c>
    </row>
    <row r="128" spans="1:15" ht="24.75" customHeight="1">
      <c r="A128" s="85" t="s">
        <v>202</v>
      </c>
      <c r="B128" s="19" t="s">
        <v>203</v>
      </c>
      <c r="C128" s="19" t="s">
        <v>65</v>
      </c>
      <c r="D128" s="19" t="s">
        <v>58</v>
      </c>
      <c r="E128" s="20">
        <v>45561</v>
      </c>
      <c r="F128" s="20">
        <v>45575</v>
      </c>
      <c r="G128" s="19" t="s">
        <v>26</v>
      </c>
      <c r="H128" s="21">
        <v>0.1</v>
      </c>
      <c r="I128" s="19" t="s">
        <v>27</v>
      </c>
      <c r="J128" s="21">
        <v>0.9</v>
      </c>
      <c r="K128" s="19"/>
      <c r="L128" s="19"/>
      <c r="M128" s="19"/>
      <c r="N128" s="19"/>
      <c r="O128" s="59">
        <f>H128*J128</f>
        <v>9.0000000000000011E-2</v>
      </c>
    </row>
    <row r="129" spans="1:15" ht="24.75" customHeight="1">
      <c r="A129" s="85" t="s">
        <v>202</v>
      </c>
      <c r="B129" s="19" t="s">
        <v>204</v>
      </c>
      <c r="C129" s="19" t="s">
        <v>65</v>
      </c>
      <c r="D129" s="19" t="s">
        <v>58</v>
      </c>
      <c r="E129" s="20">
        <v>45561</v>
      </c>
      <c r="F129" s="20">
        <v>45575</v>
      </c>
      <c r="G129" s="19" t="s">
        <v>26</v>
      </c>
      <c r="H129" s="21">
        <v>0.1</v>
      </c>
      <c r="I129" s="19" t="s">
        <v>27</v>
      </c>
      <c r="J129" s="21">
        <v>0.9</v>
      </c>
      <c r="K129" s="19"/>
      <c r="L129" s="19"/>
      <c r="M129" s="19"/>
      <c r="N129" s="19"/>
      <c r="O129" s="59">
        <f>H129*J129</f>
        <v>9.0000000000000011E-2</v>
      </c>
    </row>
    <row r="130" spans="1:15" ht="24.75" customHeight="1">
      <c r="A130" s="86" t="s">
        <v>202</v>
      </c>
      <c r="B130" s="22" t="s">
        <v>205</v>
      </c>
      <c r="C130" s="22" t="s">
        <v>25</v>
      </c>
      <c r="D130" s="19" t="s">
        <v>58</v>
      </c>
      <c r="E130" s="23">
        <v>45555</v>
      </c>
      <c r="F130" s="23">
        <v>45563</v>
      </c>
      <c r="G130" s="65" t="s">
        <v>206</v>
      </c>
      <c r="H130" s="24">
        <v>0.25</v>
      </c>
      <c r="I130" s="22" t="s">
        <v>20</v>
      </c>
      <c r="J130" s="24">
        <v>1</v>
      </c>
      <c r="K130" s="22"/>
      <c r="L130" s="22"/>
      <c r="M130" s="22"/>
      <c r="N130" s="22"/>
      <c r="O130" s="59">
        <f>H130*J130</f>
        <v>0.25</v>
      </c>
    </row>
    <row r="131" spans="1:15" s="78" customFormat="1" ht="57.75" customHeight="1">
      <c r="A131" s="85" t="s">
        <v>202</v>
      </c>
      <c r="B131" s="19" t="s">
        <v>207</v>
      </c>
      <c r="C131" s="19" t="s">
        <v>31</v>
      </c>
      <c r="D131" s="19" t="s">
        <v>58</v>
      </c>
      <c r="E131" s="20">
        <f>F130</f>
        <v>45563</v>
      </c>
      <c r="F131" s="20">
        <v>45584</v>
      </c>
      <c r="G131" s="19" t="s">
        <v>26</v>
      </c>
      <c r="H131" s="21">
        <v>0.05</v>
      </c>
      <c r="I131" s="19" t="s">
        <v>27</v>
      </c>
      <c r="J131" s="21">
        <v>0.4</v>
      </c>
      <c r="K131" s="19"/>
      <c r="L131" s="19"/>
      <c r="M131" s="19"/>
      <c r="N131" s="19"/>
      <c r="O131" s="59">
        <f>H131*J131</f>
        <v>2.0000000000000004E-2</v>
      </c>
    </row>
    <row r="132" spans="1:15" ht="24.75" customHeight="1">
      <c r="A132" s="87" t="s">
        <v>202</v>
      </c>
      <c r="B132" s="31" t="s">
        <v>208</v>
      </c>
      <c r="C132" s="31" t="s">
        <v>25</v>
      </c>
      <c r="D132" s="31" t="s">
        <v>111</v>
      </c>
      <c r="E132" s="32">
        <v>45560</v>
      </c>
      <c r="F132" s="32">
        <v>45565</v>
      </c>
      <c r="G132" s="65" t="s">
        <v>206</v>
      </c>
      <c r="H132" s="33">
        <v>0.15</v>
      </c>
      <c r="I132" s="22" t="s">
        <v>20</v>
      </c>
      <c r="J132" s="70">
        <v>1</v>
      </c>
      <c r="K132" s="31"/>
      <c r="L132" s="31"/>
      <c r="M132" s="31"/>
      <c r="N132" s="31"/>
      <c r="O132" s="92">
        <f>H132*J132</f>
        <v>0.15</v>
      </c>
    </row>
    <row r="133" spans="1:15" ht="36.75" customHeight="1">
      <c r="A133" s="58" t="s">
        <v>202</v>
      </c>
      <c r="B133" s="28" t="s">
        <v>209</v>
      </c>
      <c r="C133" s="28" t="s">
        <v>210</v>
      </c>
      <c r="D133" s="19" t="s">
        <v>58</v>
      </c>
      <c r="E133" s="29">
        <v>45601</v>
      </c>
      <c r="F133" s="29">
        <v>45625</v>
      </c>
      <c r="G133" s="65" t="s">
        <v>206</v>
      </c>
      <c r="H133" s="30">
        <v>0.05</v>
      </c>
      <c r="I133" s="22" t="s">
        <v>20</v>
      </c>
      <c r="J133" s="70">
        <v>1</v>
      </c>
      <c r="K133" s="28" t="s">
        <v>211</v>
      </c>
      <c r="L133" s="28" t="s">
        <v>212</v>
      </c>
      <c r="M133" s="15" t="s">
        <v>23</v>
      </c>
      <c r="N133" s="121">
        <v>45625</v>
      </c>
      <c r="O133" s="59">
        <f>H133*J133</f>
        <v>0.05</v>
      </c>
    </row>
    <row r="134" spans="1:15" s="76" customFormat="1" ht="24.75" customHeight="1">
      <c r="A134" s="84" t="s">
        <v>202</v>
      </c>
      <c r="B134" s="65" t="s">
        <v>213</v>
      </c>
      <c r="C134" s="65" t="s">
        <v>17</v>
      </c>
      <c r="D134" s="19" t="s">
        <v>58</v>
      </c>
      <c r="E134" s="68">
        <v>45600</v>
      </c>
      <c r="F134" s="68">
        <v>45607</v>
      </c>
      <c r="G134" s="65" t="s">
        <v>206</v>
      </c>
      <c r="H134" s="70">
        <v>0.15</v>
      </c>
      <c r="I134" s="22" t="s">
        <v>20</v>
      </c>
      <c r="J134" s="70">
        <v>1</v>
      </c>
      <c r="K134" s="65"/>
      <c r="L134" s="65"/>
      <c r="M134" s="65"/>
      <c r="N134" s="65"/>
      <c r="O134" s="90">
        <f>H134*J134</f>
        <v>0.15</v>
      </c>
    </row>
    <row r="135" spans="1:15" s="73" customFormat="1" ht="24.75" customHeight="1">
      <c r="A135" s="58" t="s">
        <v>202</v>
      </c>
      <c r="B135" s="28" t="s">
        <v>180</v>
      </c>
      <c r="C135" s="28" t="s">
        <v>25</v>
      </c>
      <c r="D135" s="19" t="s">
        <v>111</v>
      </c>
      <c r="E135" s="29">
        <v>45607</v>
      </c>
      <c r="F135" s="29">
        <v>45609</v>
      </c>
      <c r="G135" s="65" t="s">
        <v>206</v>
      </c>
      <c r="H135" s="30">
        <v>0.05</v>
      </c>
      <c r="I135" s="22" t="s">
        <v>20</v>
      </c>
      <c r="J135" s="70">
        <v>1</v>
      </c>
      <c r="K135" s="28"/>
      <c r="L135" s="28"/>
      <c r="M135" s="15"/>
      <c r="N135" s="28"/>
      <c r="O135" s="59">
        <f>H135*J135</f>
        <v>0.05</v>
      </c>
    </row>
    <row r="136" spans="1:15" s="112" customFormat="1" ht="36.75" customHeight="1">
      <c r="A136" s="107" t="s">
        <v>214</v>
      </c>
      <c r="B136" s="108" t="s">
        <v>215</v>
      </c>
      <c r="C136" s="108" t="s">
        <v>44</v>
      </c>
      <c r="D136" s="108" t="s">
        <v>111</v>
      </c>
      <c r="E136" s="109">
        <v>45568</v>
      </c>
      <c r="F136" s="109">
        <v>45571</v>
      </c>
      <c r="G136" s="108" t="s">
        <v>23</v>
      </c>
      <c r="H136" s="110">
        <v>0.08</v>
      </c>
      <c r="I136" s="108" t="s">
        <v>20</v>
      </c>
      <c r="J136" s="110">
        <v>1</v>
      </c>
      <c r="K136" s="108"/>
      <c r="L136" s="108"/>
      <c r="M136" s="108"/>
      <c r="N136" s="108"/>
      <c r="O136" s="111">
        <f>H136*J136</f>
        <v>0.08</v>
      </c>
    </row>
    <row r="137" spans="1:15" s="73" customFormat="1" ht="41.25" customHeight="1">
      <c r="A137" s="58" t="s">
        <v>214</v>
      </c>
      <c r="B137" s="28" t="s">
        <v>216</v>
      </c>
      <c r="C137" s="28" t="s">
        <v>25</v>
      </c>
      <c r="D137" s="19" t="s">
        <v>111</v>
      </c>
      <c r="E137" s="29">
        <v>45583</v>
      </c>
      <c r="F137" s="29">
        <v>45586</v>
      </c>
      <c r="G137" s="17" t="s">
        <v>23</v>
      </c>
      <c r="H137" s="30">
        <v>0.02</v>
      </c>
      <c r="I137" s="15" t="s">
        <v>20</v>
      </c>
      <c r="J137" s="30">
        <v>1</v>
      </c>
      <c r="K137" s="28"/>
      <c r="L137" s="28"/>
      <c r="M137" s="28"/>
      <c r="N137" s="28"/>
      <c r="O137" s="59">
        <f>H137*J137</f>
        <v>0.02</v>
      </c>
    </row>
    <row r="138" spans="1:15" s="78" customFormat="1" ht="36" customHeight="1">
      <c r="A138" s="58" t="s">
        <v>214</v>
      </c>
      <c r="B138" s="28" t="s">
        <v>217</v>
      </c>
      <c r="C138" s="28" t="s">
        <v>25</v>
      </c>
      <c r="D138" s="19" t="s">
        <v>111</v>
      </c>
      <c r="E138" s="29">
        <v>45583</v>
      </c>
      <c r="F138" s="29">
        <v>45586</v>
      </c>
      <c r="G138" s="17" t="s">
        <v>23</v>
      </c>
      <c r="H138" s="30">
        <v>0.02</v>
      </c>
      <c r="I138" s="15" t="s">
        <v>20</v>
      </c>
      <c r="J138" s="30">
        <v>1</v>
      </c>
      <c r="K138" s="28"/>
      <c r="L138" s="28"/>
      <c r="M138" s="15"/>
      <c r="N138" s="28"/>
      <c r="O138" s="59">
        <f>H138*J138</f>
        <v>0.02</v>
      </c>
    </row>
    <row r="139" spans="1:15" s="73" customFormat="1" ht="24.75" customHeight="1">
      <c r="A139" s="88" t="s">
        <v>214</v>
      </c>
      <c r="B139" s="19" t="s">
        <v>218</v>
      </c>
      <c r="C139" s="19" t="s">
        <v>31</v>
      </c>
      <c r="D139" s="19" t="s">
        <v>111</v>
      </c>
      <c r="E139" s="29">
        <v>45474</v>
      </c>
      <c r="F139" s="20">
        <v>45596</v>
      </c>
      <c r="G139" s="17" t="s">
        <v>23</v>
      </c>
      <c r="H139" s="30">
        <v>0.05</v>
      </c>
      <c r="I139" s="15" t="s">
        <v>20</v>
      </c>
      <c r="J139" s="21">
        <v>1</v>
      </c>
      <c r="K139" s="28"/>
      <c r="L139" s="28"/>
      <c r="M139" s="28"/>
      <c r="N139" s="28"/>
      <c r="O139" s="59">
        <f>H139*J139</f>
        <v>0.05</v>
      </c>
    </row>
    <row r="140" spans="1:15" s="106" customFormat="1" ht="24.75" customHeight="1">
      <c r="A140" s="101" t="s">
        <v>214</v>
      </c>
      <c r="B140" s="37" t="s">
        <v>219</v>
      </c>
      <c r="C140" s="37" t="s">
        <v>111</v>
      </c>
      <c r="D140" s="37" t="s">
        <v>111</v>
      </c>
      <c r="E140" s="102">
        <v>45474</v>
      </c>
      <c r="F140" s="102">
        <v>45596</v>
      </c>
      <c r="G140" s="126" t="s">
        <v>23</v>
      </c>
      <c r="H140" s="103">
        <v>0.2</v>
      </c>
      <c r="I140" s="37" t="s">
        <v>20</v>
      </c>
      <c r="J140" s="103">
        <v>1</v>
      </c>
      <c r="K140" s="37"/>
      <c r="L140" s="37"/>
      <c r="M140" s="37"/>
      <c r="N140" s="37"/>
      <c r="O140" s="105">
        <f>H140*J140</f>
        <v>0.2</v>
      </c>
    </row>
    <row r="141" spans="1:15" s="73" customFormat="1" ht="24.75" customHeight="1">
      <c r="A141" s="58" t="s">
        <v>214</v>
      </c>
      <c r="B141" s="28" t="s">
        <v>220</v>
      </c>
      <c r="C141" s="28" t="s">
        <v>25</v>
      </c>
      <c r="D141" s="19" t="s">
        <v>111</v>
      </c>
      <c r="E141" s="29">
        <v>45583</v>
      </c>
      <c r="F141" s="29">
        <v>45596</v>
      </c>
      <c r="G141" s="126" t="s">
        <v>23</v>
      </c>
      <c r="H141" s="30">
        <v>0.05</v>
      </c>
      <c r="I141" s="37" t="s">
        <v>20</v>
      </c>
      <c r="J141" s="30">
        <v>1</v>
      </c>
      <c r="K141" s="28"/>
      <c r="L141" s="28"/>
      <c r="M141" s="15"/>
      <c r="N141" s="28"/>
      <c r="O141" s="59">
        <f>H141*J141</f>
        <v>0.05</v>
      </c>
    </row>
    <row r="142" spans="1:15" s="73" customFormat="1" ht="24.75" customHeight="1">
      <c r="A142" s="58" t="s">
        <v>214</v>
      </c>
      <c r="B142" s="28" t="s">
        <v>221</v>
      </c>
      <c r="C142" s="28" t="s">
        <v>25</v>
      </c>
      <c r="D142" s="19" t="s">
        <v>111</v>
      </c>
      <c r="E142" s="29">
        <v>45583</v>
      </c>
      <c r="F142" s="29">
        <v>45596</v>
      </c>
      <c r="G142" s="126" t="s">
        <v>23</v>
      </c>
      <c r="H142" s="30">
        <v>0.05</v>
      </c>
      <c r="I142" s="37" t="s">
        <v>20</v>
      </c>
      <c r="J142" s="30">
        <v>1</v>
      </c>
      <c r="K142" s="28"/>
      <c r="L142" s="28"/>
      <c r="M142" s="15"/>
      <c r="N142" s="28"/>
      <c r="O142" s="59">
        <f>H142*J142</f>
        <v>0.05</v>
      </c>
    </row>
    <row r="143" spans="1:15" s="76" customFormat="1" ht="24.75" customHeight="1">
      <c r="A143" s="58" t="s">
        <v>214</v>
      </c>
      <c r="B143" s="28" t="s">
        <v>222</v>
      </c>
      <c r="C143" s="28" t="s">
        <v>25</v>
      </c>
      <c r="D143" s="19" t="s">
        <v>111</v>
      </c>
      <c r="E143" s="29">
        <v>45583</v>
      </c>
      <c r="F143" s="29">
        <v>45596</v>
      </c>
      <c r="G143" s="126" t="s">
        <v>23</v>
      </c>
      <c r="H143" s="30">
        <v>0.02</v>
      </c>
      <c r="I143" s="37" t="s">
        <v>20</v>
      </c>
      <c r="J143" s="30">
        <v>1</v>
      </c>
      <c r="K143" s="28"/>
      <c r="L143" s="28"/>
      <c r="M143" s="15"/>
      <c r="N143" s="28"/>
      <c r="O143" s="59">
        <f>H143*J143</f>
        <v>0.02</v>
      </c>
    </row>
    <row r="144" spans="1:15" s="73" customFormat="1" ht="24.75" customHeight="1">
      <c r="A144" s="58" t="s">
        <v>214</v>
      </c>
      <c r="B144" s="28" t="s">
        <v>223</v>
      </c>
      <c r="C144" s="28" t="s">
        <v>25</v>
      </c>
      <c r="D144" s="19" t="s">
        <v>111</v>
      </c>
      <c r="E144" s="29">
        <v>45583</v>
      </c>
      <c r="F144" s="29">
        <v>45596</v>
      </c>
      <c r="G144" s="126" t="s">
        <v>23</v>
      </c>
      <c r="H144" s="30">
        <v>0.05</v>
      </c>
      <c r="I144" s="37" t="s">
        <v>20</v>
      </c>
      <c r="J144" s="30">
        <v>1</v>
      </c>
      <c r="K144" s="39" t="s">
        <v>224</v>
      </c>
      <c r="L144" s="28" t="s">
        <v>38</v>
      </c>
      <c r="M144" s="15" t="s">
        <v>23</v>
      </c>
      <c r="N144" s="29">
        <v>45649</v>
      </c>
      <c r="O144" s="59">
        <f>H144*J144</f>
        <v>0.05</v>
      </c>
    </row>
    <row r="145" spans="1:15" ht="24.75" customHeight="1">
      <c r="A145" s="58" t="s">
        <v>214</v>
      </c>
      <c r="B145" s="28" t="s">
        <v>225</v>
      </c>
      <c r="C145" s="28" t="s">
        <v>25</v>
      </c>
      <c r="D145" s="19" t="s">
        <v>111</v>
      </c>
      <c r="E145" s="29">
        <v>45583</v>
      </c>
      <c r="F145" s="29">
        <v>45596</v>
      </c>
      <c r="G145" s="126" t="s">
        <v>23</v>
      </c>
      <c r="H145" s="30">
        <v>0.01</v>
      </c>
      <c r="I145" s="37" t="s">
        <v>20</v>
      </c>
      <c r="J145" s="30">
        <v>1</v>
      </c>
      <c r="K145" s="99"/>
      <c r="L145" s="28"/>
      <c r="M145" s="28"/>
      <c r="N145" s="28"/>
      <c r="O145" s="59">
        <f>H145*J145</f>
        <v>0.01</v>
      </c>
    </row>
    <row r="146" spans="1:15" ht="24.75" customHeight="1">
      <c r="A146" s="58" t="s">
        <v>214</v>
      </c>
      <c r="B146" s="28" t="s">
        <v>226</v>
      </c>
      <c r="C146" s="28" t="s">
        <v>25</v>
      </c>
      <c r="D146" s="19" t="s">
        <v>111</v>
      </c>
      <c r="E146" s="29">
        <v>45583</v>
      </c>
      <c r="F146" s="29">
        <v>45596</v>
      </c>
      <c r="G146" s="126" t="s">
        <v>23</v>
      </c>
      <c r="H146" s="30">
        <v>0.05</v>
      </c>
      <c r="I146" s="37" t="s">
        <v>20</v>
      </c>
      <c r="J146" s="30">
        <v>1</v>
      </c>
      <c r="K146" s="28"/>
      <c r="L146" s="28"/>
      <c r="M146" s="15"/>
      <c r="N146" s="28"/>
      <c r="O146" s="59">
        <f>H146*J146</f>
        <v>0.05</v>
      </c>
    </row>
    <row r="147" spans="1:15" ht="24.75" customHeight="1">
      <c r="A147" s="58" t="s">
        <v>214</v>
      </c>
      <c r="B147" s="28" t="s">
        <v>227</v>
      </c>
      <c r="C147" s="28" t="s">
        <v>25</v>
      </c>
      <c r="D147" s="19" t="s">
        <v>111</v>
      </c>
      <c r="E147" s="29">
        <v>45583</v>
      </c>
      <c r="F147" s="29">
        <v>45596</v>
      </c>
      <c r="G147" s="126" t="s">
        <v>23</v>
      </c>
      <c r="H147" s="30">
        <v>0.05</v>
      </c>
      <c r="I147" s="37" t="s">
        <v>20</v>
      </c>
      <c r="J147" s="30">
        <v>1</v>
      </c>
      <c r="K147" s="28"/>
      <c r="L147" s="28"/>
      <c r="M147" s="15"/>
      <c r="N147" s="28"/>
      <c r="O147" s="59">
        <f>H147*J147</f>
        <v>0.05</v>
      </c>
    </row>
    <row r="148" spans="1:15" ht="24.75" customHeight="1">
      <c r="A148" s="58" t="s">
        <v>214</v>
      </c>
      <c r="B148" s="28" t="s">
        <v>228</v>
      </c>
      <c r="C148" s="28" t="s">
        <v>25</v>
      </c>
      <c r="D148" s="19" t="s">
        <v>111</v>
      </c>
      <c r="E148" s="29">
        <v>45583</v>
      </c>
      <c r="F148" s="29">
        <v>45596</v>
      </c>
      <c r="G148" s="126" t="s">
        <v>23</v>
      </c>
      <c r="H148" s="30">
        <v>0.05</v>
      </c>
      <c r="I148" s="37" t="s">
        <v>20</v>
      </c>
      <c r="J148" s="30">
        <v>1</v>
      </c>
      <c r="K148" s="28"/>
      <c r="L148" s="28"/>
      <c r="M148" s="15"/>
      <c r="N148" s="28"/>
      <c r="O148" s="59">
        <f>H148*J148</f>
        <v>0.05</v>
      </c>
    </row>
    <row r="149" spans="1:15" ht="24.75" customHeight="1">
      <c r="A149" s="40" t="s">
        <v>214</v>
      </c>
      <c r="B149" s="41" t="s">
        <v>229</v>
      </c>
      <c r="C149" s="41" t="s">
        <v>25</v>
      </c>
      <c r="D149" s="42" t="s">
        <v>111</v>
      </c>
      <c r="E149" s="43">
        <v>45583</v>
      </c>
      <c r="F149" s="43">
        <v>45596</v>
      </c>
      <c r="G149" s="126" t="s">
        <v>23</v>
      </c>
      <c r="H149" s="44">
        <v>0.05</v>
      </c>
      <c r="I149" s="37" t="s">
        <v>20</v>
      </c>
      <c r="J149" s="30">
        <v>1</v>
      </c>
      <c r="K149" s="41"/>
      <c r="L149" s="41"/>
      <c r="M149" s="45"/>
      <c r="N149" s="41"/>
      <c r="O149" s="46">
        <f>H149*J149</f>
        <v>0.05</v>
      </c>
    </row>
    <row r="150" spans="1:15" s="76" customFormat="1" ht="24.75" customHeight="1">
      <c r="A150" s="58" t="s">
        <v>214</v>
      </c>
      <c r="B150" s="28" t="s">
        <v>230</v>
      </c>
      <c r="C150" s="28" t="s">
        <v>25</v>
      </c>
      <c r="D150" s="19" t="s">
        <v>111</v>
      </c>
      <c r="E150" s="29">
        <v>45583</v>
      </c>
      <c r="F150" s="29">
        <v>45596</v>
      </c>
      <c r="G150" s="126" t="s">
        <v>23</v>
      </c>
      <c r="H150" s="30">
        <v>0.05</v>
      </c>
      <c r="I150" s="37" t="s">
        <v>20</v>
      </c>
      <c r="J150" s="30">
        <v>1</v>
      </c>
      <c r="K150" s="28" t="s">
        <v>231</v>
      </c>
      <c r="L150" s="28" t="s">
        <v>38</v>
      </c>
      <c r="M150" s="15" t="s">
        <v>23</v>
      </c>
      <c r="N150" s="29">
        <v>45649</v>
      </c>
      <c r="O150" s="59">
        <f>H150*J150</f>
        <v>0.05</v>
      </c>
    </row>
    <row r="151" spans="1:15" ht="24.75" customHeight="1">
      <c r="A151" s="58" t="s">
        <v>214</v>
      </c>
      <c r="B151" s="28" t="s">
        <v>232</v>
      </c>
      <c r="C151" s="28" t="s">
        <v>25</v>
      </c>
      <c r="D151" s="19" t="s">
        <v>111</v>
      </c>
      <c r="E151" s="29">
        <v>45583</v>
      </c>
      <c r="F151" s="29">
        <v>45596</v>
      </c>
      <c r="G151" s="126" t="s">
        <v>23</v>
      </c>
      <c r="H151" s="30">
        <v>0.05</v>
      </c>
      <c r="I151" s="28" t="s">
        <v>20</v>
      </c>
      <c r="J151" s="30">
        <v>1</v>
      </c>
      <c r="K151" s="28" t="s">
        <v>233</v>
      </c>
      <c r="L151" s="28" t="s">
        <v>38</v>
      </c>
      <c r="M151" s="15" t="s">
        <v>23</v>
      </c>
      <c r="N151" s="29">
        <v>45688</v>
      </c>
      <c r="O151" s="59">
        <f>H151*J151</f>
        <v>0.05</v>
      </c>
    </row>
    <row r="152" spans="1:15" s="106" customFormat="1" ht="24.75" customHeight="1">
      <c r="A152" s="101" t="s">
        <v>214</v>
      </c>
      <c r="B152" s="37" t="s">
        <v>234</v>
      </c>
      <c r="C152" s="37" t="s">
        <v>111</v>
      </c>
      <c r="D152" s="37" t="s">
        <v>111</v>
      </c>
      <c r="E152" s="102">
        <v>45583</v>
      </c>
      <c r="F152" s="102">
        <v>45596</v>
      </c>
      <c r="G152" s="126" t="s">
        <v>23</v>
      </c>
      <c r="H152" s="103">
        <v>0.05</v>
      </c>
      <c r="I152" s="37" t="s">
        <v>20</v>
      </c>
      <c r="J152" s="103">
        <v>1</v>
      </c>
      <c r="K152" s="37"/>
      <c r="L152" s="37"/>
      <c r="M152" s="37"/>
      <c r="N152" s="37"/>
      <c r="O152" s="105">
        <f>H152*J152</f>
        <v>0.05</v>
      </c>
    </row>
    <row r="153" spans="1:15" ht="24.75" customHeight="1">
      <c r="A153" s="58" t="s">
        <v>214</v>
      </c>
      <c r="B153" s="28" t="s">
        <v>235</v>
      </c>
      <c r="C153" s="28" t="s">
        <v>210</v>
      </c>
      <c r="D153" s="28" t="s">
        <v>210</v>
      </c>
      <c r="E153" s="29">
        <v>45566</v>
      </c>
      <c r="F153" s="29">
        <v>45611</v>
      </c>
      <c r="G153" s="19" t="s">
        <v>23</v>
      </c>
      <c r="H153" s="30">
        <v>0.03</v>
      </c>
      <c r="I153" s="28" t="s">
        <v>20</v>
      </c>
      <c r="J153" s="30">
        <v>1</v>
      </c>
      <c r="K153" s="28"/>
      <c r="L153" s="28"/>
      <c r="M153" s="15"/>
      <c r="N153" s="28"/>
      <c r="O153" s="59">
        <f>H153*J153</f>
        <v>0.03</v>
      </c>
    </row>
    <row r="154" spans="1:15" s="112" customFormat="1" ht="24.75" customHeight="1">
      <c r="A154" s="107" t="s">
        <v>214</v>
      </c>
      <c r="B154" s="108" t="s">
        <v>236</v>
      </c>
      <c r="C154" s="108" t="s">
        <v>44</v>
      </c>
      <c r="D154" s="108" t="s">
        <v>58</v>
      </c>
      <c r="E154" s="109">
        <v>45619</v>
      </c>
      <c r="F154" s="109">
        <v>45614</v>
      </c>
      <c r="G154" s="108" t="s">
        <v>23</v>
      </c>
      <c r="H154" s="110">
        <v>0.03</v>
      </c>
      <c r="I154" s="108" t="s">
        <v>20</v>
      </c>
      <c r="J154" s="110">
        <v>1</v>
      </c>
      <c r="K154" s="108"/>
      <c r="L154" s="108"/>
      <c r="M154" s="108"/>
      <c r="N154" s="108"/>
      <c r="O154" s="111">
        <f>H154*J154</f>
        <v>0.03</v>
      </c>
    </row>
    <row r="155" spans="1:15" s="73" customFormat="1" ht="24.75" customHeight="1">
      <c r="A155" s="63" t="s">
        <v>237</v>
      </c>
      <c r="B155" s="80" t="s">
        <v>238</v>
      </c>
      <c r="C155" s="15" t="s">
        <v>17</v>
      </c>
      <c r="D155" s="15" t="s">
        <v>239</v>
      </c>
      <c r="E155" s="16">
        <v>45650</v>
      </c>
      <c r="F155" s="16">
        <v>45653</v>
      </c>
      <c r="G155" s="15" t="s">
        <v>23</v>
      </c>
      <c r="H155" s="18">
        <v>0.05</v>
      </c>
      <c r="I155" s="15" t="s">
        <v>20</v>
      </c>
      <c r="J155" s="18">
        <v>1</v>
      </c>
      <c r="K155" s="15" t="s">
        <v>21</v>
      </c>
      <c r="L155" s="15" t="s">
        <v>22</v>
      </c>
      <c r="M155" s="15" t="s">
        <v>23</v>
      </c>
      <c r="N155" s="17">
        <v>45659</v>
      </c>
      <c r="O155" s="91">
        <f>H155*J155</f>
        <v>0.05</v>
      </c>
    </row>
    <row r="156" spans="1:15" s="73" customFormat="1" ht="24.75" customHeight="1">
      <c r="A156" s="63" t="s">
        <v>237</v>
      </c>
      <c r="B156" s="15" t="s">
        <v>240</v>
      </c>
      <c r="C156" s="15" t="s">
        <v>17</v>
      </c>
      <c r="D156" s="15" t="s">
        <v>239</v>
      </c>
      <c r="E156" s="16">
        <v>45650</v>
      </c>
      <c r="F156" s="16">
        <v>45653</v>
      </c>
      <c r="G156" s="15" t="s">
        <v>23</v>
      </c>
      <c r="H156" s="18">
        <v>0.05</v>
      </c>
      <c r="I156" s="15" t="s">
        <v>20</v>
      </c>
      <c r="J156" s="18">
        <v>1</v>
      </c>
      <c r="K156" s="15" t="s">
        <v>21</v>
      </c>
      <c r="L156" s="15" t="s">
        <v>22</v>
      </c>
      <c r="M156" s="15" t="s">
        <v>23</v>
      </c>
      <c r="N156" s="17">
        <v>45659</v>
      </c>
      <c r="O156" s="91">
        <f>H156*J156</f>
        <v>0.05</v>
      </c>
    </row>
    <row r="157" spans="1:15" s="73" customFormat="1" ht="24.75" customHeight="1">
      <c r="A157" s="63" t="s">
        <v>237</v>
      </c>
      <c r="B157" s="15" t="s">
        <v>241</v>
      </c>
      <c r="C157" s="15" t="s">
        <v>17</v>
      </c>
      <c r="D157" s="15" t="s">
        <v>239</v>
      </c>
      <c r="E157" s="16">
        <v>45650</v>
      </c>
      <c r="F157" s="16">
        <v>45653</v>
      </c>
      <c r="G157" s="15" t="s">
        <v>23</v>
      </c>
      <c r="H157" s="18">
        <v>0.05</v>
      </c>
      <c r="I157" s="15" t="s">
        <v>20</v>
      </c>
      <c r="J157" s="18">
        <v>1</v>
      </c>
      <c r="K157" s="15" t="s">
        <v>21</v>
      </c>
      <c r="L157" s="15" t="s">
        <v>22</v>
      </c>
      <c r="M157" s="15" t="s">
        <v>23</v>
      </c>
      <c r="N157" s="17">
        <v>45659</v>
      </c>
      <c r="O157" s="91">
        <f>H157*J157</f>
        <v>0.05</v>
      </c>
    </row>
    <row r="158" spans="1:15" s="78" customFormat="1" ht="24.75" customHeight="1">
      <c r="A158" s="86" t="s">
        <v>237</v>
      </c>
      <c r="B158" s="120" t="s">
        <v>242</v>
      </c>
      <c r="C158" s="120" t="s">
        <v>17</v>
      </c>
      <c r="D158" s="22" t="s">
        <v>239</v>
      </c>
      <c r="E158" s="23">
        <v>45649</v>
      </c>
      <c r="F158" s="23">
        <v>45653</v>
      </c>
      <c r="G158" s="15" t="s">
        <v>23</v>
      </c>
      <c r="H158" s="24">
        <v>0.05</v>
      </c>
      <c r="I158" s="15" t="s">
        <v>20</v>
      </c>
      <c r="J158" s="18">
        <v>1</v>
      </c>
      <c r="K158" s="120"/>
      <c r="L158" s="120"/>
      <c r="M158" s="120"/>
      <c r="N158" s="17"/>
      <c r="O158" s="46">
        <f>H158*J158</f>
        <v>0.05</v>
      </c>
    </row>
    <row r="159" spans="1:15" s="73" customFormat="1" ht="24.75" customHeight="1">
      <c r="A159" s="63" t="s">
        <v>237</v>
      </c>
      <c r="B159" s="15" t="s">
        <v>243</v>
      </c>
      <c r="C159" s="15" t="s">
        <v>17</v>
      </c>
      <c r="D159" s="15" t="s">
        <v>239</v>
      </c>
      <c r="E159" s="16">
        <v>45650</v>
      </c>
      <c r="F159" s="16">
        <v>45653</v>
      </c>
      <c r="G159" s="15" t="s">
        <v>23</v>
      </c>
      <c r="H159" s="18">
        <v>0.05</v>
      </c>
      <c r="I159" s="15" t="s">
        <v>20</v>
      </c>
      <c r="J159" s="18">
        <v>1</v>
      </c>
      <c r="K159" s="15"/>
      <c r="L159" s="15"/>
      <c r="M159" s="15"/>
      <c r="N159" s="17"/>
      <c r="O159" s="91">
        <f>H159*J159</f>
        <v>0.05</v>
      </c>
    </row>
    <row r="160" spans="1:15" s="73" customFormat="1" ht="24.75" customHeight="1">
      <c r="A160" s="63" t="s">
        <v>237</v>
      </c>
      <c r="B160" s="45" t="s">
        <v>244</v>
      </c>
      <c r="C160" s="45" t="s">
        <v>17</v>
      </c>
      <c r="D160" s="15" t="s">
        <v>239</v>
      </c>
      <c r="E160" s="16">
        <v>45650</v>
      </c>
      <c r="F160" s="16">
        <v>45653</v>
      </c>
      <c r="G160" s="15" t="s">
        <v>23</v>
      </c>
      <c r="H160" s="18">
        <v>0.05</v>
      </c>
      <c r="I160" s="15" t="s">
        <v>20</v>
      </c>
      <c r="J160" s="18">
        <v>1</v>
      </c>
      <c r="K160" s="15" t="s">
        <v>21</v>
      </c>
      <c r="L160" s="45"/>
      <c r="M160" s="45"/>
      <c r="N160" s="17"/>
      <c r="O160" s="114">
        <f>H160*J160</f>
        <v>0.05</v>
      </c>
    </row>
    <row r="161" spans="1:15" s="73" customFormat="1" ht="24.75" customHeight="1">
      <c r="A161" s="63" t="s">
        <v>237</v>
      </c>
      <c r="B161" s="15" t="s">
        <v>245</v>
      </c>
      <c r="C161" s="15" t="s">
        <v>17</v>
      </c>
      <c r="D161" s="15" t="s">
        <v>239</v>
      </c>
      <c r="E161" s="16">
        <v>45650</v>
      </c>
      <c r="F161" s="16">
        <v>45653</v>
      </c>
      <c r="G161" s="15" t="s">
        <v>23</v>
      </c>
      <c r="H161" s="18">
        <v>0.05</v>
      </c>
      <c r="I161" s="15" t="s">
        <v>20</v>
      </c>
      <c r="J161" s="18">
        <v>1</v>
      </c>
      <c r="K161" s="15" t="s">
        <v>21</v>
      </c>
      <c r="L161" s="15" t="s">
        <v>22</v>
      </c>
      <c r="M161" s="15" t="s">
        <v>23</v>
      </c>
      <c r="N161" s="17">
        <v>45659</v>
      </c>
      <c r="O161" s="91">
        <f>H161*J161</f>
        <v>0.05</v>
      </c>
    </row>
    <row r="162" spans="1:15" s="78" customFormat="1" ht="24.75" customHeight="1">
      <c r="A162" s="86" t="s">
        <v>237</v>
      </c>
      <c r="B162" s="22" t="s">
        <v>246</v>
      </c>
      <c r="C162" s="22" t="s">
        <v>17</v>
      </c>
      <c r="D162" s="22" t="s">
        <v>239</v>
      </c>
      <c r="E162" s="23">
        <v>45650</v>
      </c>
      <c r="F162" s="23">
        <v>45653</v>
      </c>
      <c r="G162" s="22" t="s">
        <v>26</v>
      </c>
      <c r="H162" s="24">
        <v>0.05</v>
      </c>
      <c r="I162" s="22" t="s">
        <v>46</v>
      </c>
      <c r="J162" s="24">
        <v>0.7</v>
      </c>
      <c r="K162" s="22" t="s">
        <v>247</v>
      </c>
      <c r="L162" s="22" t="s">
        <v>38</v>
      </c>
      <c r="M162" s="22" t="s">
        <v>26</v>
      </c>
      <c r="N162" s="22"/>
      <c r="O162" s="59">
        <f>H162*J162</f>
        <v>3.4999999999999996E-2</v>
      </c>
    </row>
    <row r="163" spans="1:15" s="73" customFormat="1" ht="24.75" customHeight="1">
      <c r="A163" s="63" t="s">
        <v>237</v>
      </c>
      <c r="B163" s="15" t="s">
        <v>248</v>
      </c>
      <c r="C163" s="15" t="s">
        <v>17</v>
      </c>
      <c r="D163" s="15" t="s">
        <v>239</v>
      </c>
      <c r="E163" s="16">
        <v>45650</v>
      </c>
      <c r="F163" s="16">
        <v>45653</v>
      </c>
      <c r="G163" s="15" t="s">
        <v>23</v>
      </c>
      <c r="H163" s="18">
        <v>0.05</v>
      </c>
      <c r="I163" s="15" t="s">
        <v>20</v>
      </c>
      <c r="J163" s="18">
        <v>1</v>
      </c>
      <c r="K163" s="15"/>
      <c r="L163" s="15"/>
      <c r="M163" s="15"/>
      <c r="N163" s="15"/>
      <c r="O163" s="91">
        <f>H163*J163</f>
        <v>0.05</v>
      </c>
    </row>
    <row r="164" spans="1:15" s="73" customFormat="1" ht="24.75" customHeight="1">
      <c r="A164" s="63" t="s">
        <v>237</v>
      </c>
      <c r="B164" s="15" t="s">
        <v>249</v>
      </c>
      <c r="C164" s="15" t="s">
        <v>17</v>
      </c>
      <c r="D164" s="15" t="s">
        <v>239</v>
      </c>
      <c r="E164" s="16">
        <v>45650</v>
      </c>
      <c r="F164" s="16">
        <v>45653</v>
      </c>
      <c r="G164" s="15" t="s">
        <v>23</v>
      </c>
      <c r="H164" s="18">
        <v>0.05</v>
      </c>
      <c r="I164" s="15" t="s">
        <v>20</v>
      </c>
      <c r="J164" s="18">
        <v>1</v>
      </c>
      <c r="K164" s="15" t="s">
        <v>129</v>
      </c>
      <c r="L164" s="15" t="s">
        <v>31</v>
      </c>
      <c r="M164" s="15"/>
      <c r="N164" s="15"/>
      <c r="O164" s="91">
        <f>H164*J164</f>
        <v>0.05</v>
      </c>
    </row>
    <row r="165" spans="1:15" s="76" customFormat="1" ht="24.75" customHeight="1">
      <c r="A165" s="87" t="s">
        <v>237</v>
      </c>
      <c r="B165" s="31" t="s">
        <v>250</v>
      </c>
      <c r="C165" s="93" t="s">
        <v>17</v>
      </c>
      <c r="D165" s="15" t="s">
        <v>239</v>
      </c>
      <c r="E165" s="32">
        <v>45650</v>
      </c>
      <c r="F165" s="32">
        <v>45653</v>
      </c>
      <c r="G165" s="31" t="s">
        <v>26</v>
      </c>
      <c r="H165" s="33">
        <v>0.1</v>
      </c>
      <c r="I165" s="22" t="s">
        <v>46</v>
      </c>
      <c r="J165" s="97">
        <v>0.9</v>
      </c>
      <c r="K165" s="31" t="s">
        <v>30</v>
      </c>
      <c r="L165" s="31" t="s">
        <v>22</v>
      </c>
      <c r="M165" s="31" t="s">
        <v>23</v>
      </c>
      <c r="N165" s="17">
        <v>45659</v>
      </c>
      <c r="O165" s="92">
        <f>H165*J165</f>
        <v>9.0000000000000011E-2</v>
      </c>
    </row>
    <row r="166" spans="1:15" s="76" customFormat="1" ht="24.75" customHeight="1">
      <c r="A166" s="87" t="s">
        <v>237</v>
      </c>
      <c r="B166" s="31" t="s">
        <v>251</v>
      </c>
      <c r="C166" s="31" t="s">
        <v>25</v>
      </c>
      <c r="D166" s="15" t="s">
        <v>239</v>
      </c>
      <c r="E166" s="32">
        <v>45650</v>
      </c>
      <c r="F166" s="32">
        <v>45653</v>
      </c>
      <c r="G166" s="31" t="s">
        <v>23</v>
      </c>
      <c r="H166" s="33">
        <v>0.2</v>
      </c>
      <c r="I166" s="22" t="s">
        <v>46</v>
      </c>
      <c r="J166" s="97">
        <v>0.8</v>
      </c>
      <c r="K166" s="31"/>
      <c r="L166" s="31"/>
      <c r="M166" s="31"/>
      <c r="N166" s="31"/>
      <c r="O166" s="92">
        <f>H166*J166</f>
        <v>0.16000000000000003</v>
      </c>
    </row>
    <row r="167" spans="1:15" s="76" customFormat="1" ht="24.75" customHeight="1">
      <c r="A167" s="87" t="s">
        <v>237</v>
      </c>
      <c r="B167" s="31" t="s">
        <v>252</v>
      </c>
      <c r="C167" s="31" t="s">
        <v>58</v>
      </c>
      <c r="D167" s="15" t="s">
        <v>239</v>
      </c>
      <c r="E167" s="32">
        <v>45650</v>
      </c>
      <c r="F167" s="32">
        <v>45653</v>
      </c>
      <c r="G167" s="31" t="s">
        <v>26</v>
      </c>
      <c r="H167" s="33">
        <v>0.05</v>
      </c>
      <c r="I167" s="31" t="s">
        <v>27</v>
      </c>
      <c r="J167" s="33">
        <v>0.5</v>
      </c>
      <c r="K167" s="31"/>
      <c r="L167" s="31"/>
      <c r="M167" s="31"/>
      <c r="N167" s="31"/>
      <c r="O167" s="92">
        <f>H167*J167</f>
        <v>2.5000000000000001E-2</v>
      </c>
    </row>
    <row r="168" spans="1:15" s="76" customFormat="1" ht="24.75" customHeight="1">
      <c r="A168" s="87" t="s">
        <v>237</v>
      </c>
      <c r="B168" s="31" t="s">
        <v>253</v>
      </c>
      <c r="C168" s="31" t="s">
        <v>31</v>
      </c>
      <c r="D168" s="15" t="s">
        <v>239</v>
      </c>
      <c r="E168" s="32">
        <v>45650</v>
      </c>
      <c r="F168" s="32">
        <v>45653</v>
      </c>
      <c r="G168" s="31" t="s">
        <v>26</v>
      </c>
      <c r="H168" s="33">
        <v>0.02</v>
      </c>
      <c r="I168" s="31" t="s">
        <v>27</v>
      </c>
      <c r="J168" s="33">
        <v>0.01</v>
      </c>
      <c r="K168" s="31"/>
      <c r="L168" s="31"/>
      <c r="M168" s="31"/>
      <c r="N168" s="31"/>
      <c r="O168" s="92">
        <f>H168*J168</f>
        <v>2.0000000000000001E-4</v>
      </c>
    </row>
    <row r="169" spans="1:15" ht="24.75" customHeight="1">
      <c r="A169" s="40" t="s">
        <v>122</v>
      </c>
      <c r="B169" s="41" t="s">
        <v>254</v>
      </c>
      <c r="C169" s="41" t="s">
        <v>25</v>
      </c>
      <c r="D169" s="15" t="s">
        <v>58</v>
      </c>
      <c r="E169" s="43">
        <v>45626</v>
      </c>
      <c r="F169" s="43">
        <v>45631</v>
      </c>
      <c r="G169" s="34" t="s">
        <v>23</v>
      </c>
      <c r="H169" s="44">
        <v>0.05</v>
      </c>
      <c r="I169" s="34" t="s">
        <v>20</v>
      </c>
      <c r="J169" s="44">
        <v>1</v>
      </c>
      <c r="K169" s="41"/>
      <c r="L169" s="41"/>
      <c r="M169" s="45"/>
      <c r="N169" s="41"/>
      <c r="O169" s="46">
        <f>H169*J169</f>
        <v>0.05</v>
      </c>
    </row>
    <row r="170" spans="1:15" ht="24.75" customHeight="1">
      <c r="A170" s="40" t="s">
        <v>62</v>
      </c>
      <c r="B170" s="28" t="s">
        <v>255</v>
      </c>
      <c r="C170" s="28" t="s">
        <v>64</v>
      </c>
      <c r="D170" s="19" t="s">
        <v>18</v>
      </c>
      <c r="E170" s="29">
        <v>45630</v>
      </c>
      <c r="F170" s="29">
        <v>45657</v>
      </c>
      <c r="G170" s="100" t="s">
        <v>45</v>
      </c>
      <c r="H170" s="21">
        <v>0.05</v>
      </c>
      <c r="I170" s="19" t="s">
        <v>46</v>
      </c>
      <c r="J170" s="21">
        <v>1</v>
      </c>
      <c r="K170" s="28"/>
      <c r="L170" s="28"/>
      <c r="M170" s="15"/>
      <c r="N170" s="28"/>
      <c r="O170" s="59">
        <f>H170*J170</f>
        <v>0.05</v>
      </c>
    </row>
    <row r="171" spans="1:15" ht="24.75" customHeight="1">
      <c r="A171" s="40" t="s">
        <v>202</v>
      </c>
      <c r="B171" s="41" t="s">
        <v>256</v>
      </c>
      <c r="C171" s="41" t="s">
        <v>25</v>
      </c>
      <c r="D171" s="19" t="s">
        <v>58</v>
      </c>
      <c r="E171" s="43">
        <v>45630</v>
      </c>
      <c r="F171" s="43">
        <v>45631</v>
      </c>
      <c r="G171" s="65" t="s">
        <v>206</v>
      </c>
      <c r="H171" s="44">
        <v>0.05</v>
      </c>
      <c r="I171" s="22" t="s">
        <v>20</v>
      </c>
      <c r="J171" s="70">
        <v>1</v>
      </c>
      <c r="K171" s="41"/>
      <c r="L171" s="41"/>
      <c r="M171" s="45"/>
      <c r="N171" s="41"/>
      <c r="O171" s="46">
        <f>H171*J171</f>
        <v>0.05</v>
      </c>
    </row>
    <row r="172" spans="1:15" ht="24.75" customHeight="1">
      <c r="A172" s="40" t="s">
        <v>182</v>
      </c>
      <c r="B172" s="41" t="s">
        <v>257</v>
      </c>
      <c r="C172" s="41" t="s">
        <v>44</v>
      </c>
      <c r="D172" s="28" t="s">
        <v>18</v>
      </c>
      <c r="E172" s="43">
        <v>45595</v>
      </c>
      <c r="F172" s="43">
        <v>45622</v>
      </c>
      <c r="G172" s="134" t="s">
        <v>23</v>
      </c>
      <c r="H172" s="44">
        <v>0.05</v>
      </c>
      <c r="I172" s="135" t="s">
        <v>20</v>
      </c>
      <c r="J172" s="44">
        <v>1</v>
      </c>
      <c r="K172" s="41"/>
      <c r="L172" s="41"/>
      <c r="M172" s="41"/>
      <c r="N172" s="41"/>
      <c r="O172" s="136">
        <f>H172*J172</f>
        <v>0.05</v>
      </c>
    </row>
    <row r="173" spans="1:15" s="112" customFormat="1" ht="24.75" customHeight="1">
      <c r="A173" s="128" t="s">
        <v>107</v>
      </c>
      <c r="B173" s="129" t="s">
        <v>258</v>
      </c>
      <c r="C173" s="129" t="s">
        <v>44</v>
      </c>
      <c r="D173" s="108" t="s">
        <v>18</v>
      </c>
      <c r="E173" s="130">
        <v>45643</v>
      </c>
      <c r="F173" s="130">
        <v>45646</v>
      </c>
      <c r="G173" s="133" t="s">
        <v>23</v>
      </c>
      <c r="H173" s="131">
        <v>0.1</v>
      </c>
      <c r="I173" s="37" t="s">
        <v>20</v>
      </c>
      <c r="J173" s="110">
        <v>1</v>
      </c>
      <c r="K173" s="129"/>
      <c r="L173" s="129"/>
      <c r="M173" s="129"/>
      <c r="N173" s="129"/>
      <c r="O173" s="132">
        <f>H173*J173</f>
        <v>0.1</v>
      </c>
    </row>
    <row r="174" spans="1:15" ht="24.75" customHeight="1">
      <c r="A174" s="107" t="s">
        <v>214</v>
      </c>
      <c r="B174" s="28" t="s">
        <v>259</v>
      </c>
      <c r="C174" s="28" t="s">
        <v>25</v>
      </c>
      <c r="D174" s="19" t="s">
        <v>111</v>
      </c>
      <c r="E174" s="29">
        <v>45645</v>
      </c>
      <c r="F174" s="29">
        <v>45665</v>
      </c>
      <c r="G174" s="108" t="s">
        <v>23</v>
      </c>
      <c r="H174" s="30">
        <v>0.02</v>
      </c>
      <c r="I174" s="108" t="s">
        <v>20</v>
      </c>
      <c r="J174" s="30">
        <v>1</v>
      </c>
      <c r="K174" s="28" t="s">
        <v>260</v>
      </c>
      <c r="L174" s="28" t="s">
        <v>38</v>
      </c>
      <c r="M174" s="15" t="s">
        <v>23</v>
      </c>
      <c r="N174" s="29">
        <v>45694</v>
      </c>
      <c r="O174" s="59">
        <f>H174*J174</f>
        <v>0.02</v>
      </c>
    </row>
    <row r="175" spans="1:15" ht="24.75" customHeight="1">
      <c r="A175" s="40" t="s">
        <v>261</v>
      </c>
      <c r="B175" s="41" t="s">
        <v>262</v>
      </c>
      <c r="C175" s="41" t="s">
        <v>111</v>
      </c>
      <c r="D175" s="42" t="s">
        <v>263</v>
      </c>
      <c r="E175" s="43">
        <v>45652</v>
      </c>
      <c r="F175" s="43">
        <v>45698</v>
      </c>
      <c r="G175" s="17" t="s">
        <v>23</v>
      </c>
      <c r="H175" s="44">
        <v>0.1</v>
      </c>
      <c r="I175" s="15" t="s">
        <v>20</v>
      </c>
      <c r="J175" s="44">
        <v>0.8</v>
      </c>
      <c r="K175" s="41"/>
      <c r="L175" s="41"/>
      <c r="M175" s="45"/>
      <c r="N175" s="41"/>
      <c r="O175" s="46">
        <f>H175*J175</f>
        <v>8.0000000000000016E-2</v>
      </c>
    </row>
    <row r="176" spans="1:15" ht="24.75" customHeight="1">
      <c r="A176" s="40" t="s">
        <v>261</v>
      </c>
      <c r="B176" s="28" t="s">
        <v>264</v>
      </c>
      <c r="C176" s="41" t="s">
        <v>111</v>
      </c>
      <c r="D176" s="42" t="s">
        <v>263</v>
      </c>
      <c r="E176" s="43">
        <v>45652</v>
      </c>
      <c r="F176" s="43">
        <v>45698</v>
      </c>
      <c r="G176" s="17" t="s">
        <v>23</v>
      </c>
      <c r="H176" s="44">
        <v>0.15</v>
      </c>
      <c r="I176" s="15" t="s">
        <v>20</v>
      </c>
      <c r="J176" s="44">
        <v>0.8</v>
      </c>
      <c r="K176" s="28"/>
      <c r="L176" s="28"/>
      <c r="M176" s="15"/>
      <c r="N176" s="28"/>
      <c r="O176" s="59">
        <f>H176*J176</f>
        <v>0.12</v>
      </c>
    </row>
    <row r="177" spans="1:15" ht="24.75" customHeight="1">
      <c r="A177" s="40" t="s">
        <v>261</v>
      </c>
      <c r="B177" s="28" t="s">
        <v>265</v>
      </c>
      <c r="C177" s="41" t="s">
        <v>111</v>
      </c>
      <c r="D177" s="42" t="s">
        <v>263</v>
      </c>
      <c r="E177" s="43">
        <v>45652</v>
      </c>
      <c r="F177" s="43">
        <v>45698</v>
      </c>
      <c r="G177" s="17" t="s">
        <v>23</v>
      </c>
      <c r="H177" s="44">
        <v>0.15</v>
      </c>
      <c r="I177" s="15" t="s">
        <v>20</v>
      </c>
      <c r="J177" s="44">
        <v>0.01</v>
      </c>
      <c r="K177" s="28" t="s">
        <v>266</v>
      </c>
      <c r="L177" s="28" t="s">
        <v>103</v>
      </c>
      <c r="M177" s="17" t="s">
        <v>23</v>
      </c>
      <c r="N177" s="28"/>
      <c r="O177" s="59">
        <f>H177*J177</f>
        <v>1.5E-3</v>
      </c>
    </row>
    <row r="178" spans="1:15" ht="24.75" customHeight="1">
      <c r="A178" s="40" t="s">
        <v>261</v>
      </c>
      <c r="B178" s="28" t="s">
        <v>267</v>
      </c>
      <c r="C178" s="41" t="s">
        <v>111</v>
      </c>
      <c r="D178" s="42" t="s">
        <v>263</v>
      </c>
      <c r="E178" s="43">
        <v>45720</v>
      </c>
      <c r="F178" s="43">
        <v>45726</v>
      </c>
      <c r="G178" s="17" t="s">
        <v>23</v>
      </c>
      <c r="H178" s="44">
        <v>0.1</v>
      </c>
      <c r="I178" s="15" t="s">
        <v>20</v>
      </c>
      <c r="J178" s="44">
        <v>0.5</v>
      </c>
      <c r="K178" s="28" t="s">
        <v>268</v>
      </c>
      <c r="L178" s="28" t="s">
        <v>103</v>
      </c>
      <c r="M178" s="17" t="s">
        <v>23</v>
      </c>
      <c r="N178" s="28"/>
      <c r="O178" s="59">
        <f>H178*J178</f>
        <v>0.05</v>
      </c>
    </row>
    <row r="179" spans="1:15" ht="24.75" customHeight="1">
      <c r="A179" s="40" t="s">
        <v>261</v>
      </c>
      <c r="B179" s="28" t="s">
        <v>269</v>
      </c>
      <c r="C179" s="41" t="s">
        <v>111</v>
      </c>
      <c r="D179" s="42" t="s">
        <v>263</v>
      </c>
      <c r="E179" s="43">
        <v>45720</v>
      </c>
      <c r="F179" s="43" t="s">
        <v>270</v>
      </c>
      <c r="G179" s="17" t="s">
        <v>23</v>
      </c>
      <c r="H179" s="30">
        <v>0.05</v>
      </c>
      <c r="I179" s="15" t="s">
        <v>20</v>
      </c>
      <c r="J179" s="30">
        <v>0.01</v>
      </c>
      <c r="K179" s="28"/>
      <c r="L179" s="28"/>
      <c r="M179" s="15"/>
      <c r="N179" s="28"/>
      <c r="O179" s="59">
        <f>H179*J179</f>
        <v>5.0000000000000001E-4</v>
      </c>
    </row>
    <row r="180" spans="1:15" ht="24.75" customHeight="1">
      <c r="A180" s="40" t="s">
        <v>261</v>
      </c>
      <c r="B180" t="s">
        <v>271</v>
      </c>
      <c r="C180" s="41" t="s">
        <v>111</v>
      </c>
      <c r="D180" s="42" t="s">
        <v>263</v>
      </c>
      <c r="E180" s="43">
        <v>45652</v>
      </c>
      <c r="F180" s="43">
        <v>45698</v>
      </c>
      <c r="G180" s="17" t="s">
        <v>23</v>
      </c>
      <c r="H180" s="44">
        <v>0.15</v>
      </c>
      <c r="I180" s="15" t="s">
        <v>20</v>
      </c>
      <c r="J180" s="44">
        <v>0.01</v>
      </c>
      <c r="K180" t="s">
        <v>272</v>
      </c>
      <c r="L180" s="28" t="s">
        <v>103</v>
      </c>
      <c r="M180" s="17" t="s">
        <v>23</v>
      </c>
      <c r="N180" s="28"/>
      <c r="O180" s="59">
        <f>H180*J180</f>
        <v>1.5E-3</v>
      </c>
    </row>
    <row r="181" spans="1:15" ht="24.75" customHeight="1">
      <c r="A181" s="40" t="s">
        <v>261</v>
      </c>
      <c r="B181" s="28" t="s">
        <v>273</v>
      </c>
      <c r="C181" s="28" t="s">
        <v>56</v>
      </c>
      <c r="D181" s="42" t="s">
        <v>263</v>
      </c>
      <c r="E181" s="43">
        <v>45652</v>
      </c>
      <c r="F181" s="43">
        <v>45698</v>
      </c>
      <c r="G181" s="17" t="s">
        <v>23</v>
      </c>
      <c r="H181" s="30">
        <v>0.15</v>
      </c>
      <c r="I181" s="15" t="s">
        <v>20</v>
      </c>
      <c r="J181" s="44">
        <v>1</v>
      </c>
      <c r="K181" s="28"/>
      <c r="L181" s="28"/>
      <c r="M181" s="15"/>
      <c r="N181" s="28"/>
      <c r="O181" s="59">
        <f>H181*J181</f>
        <v>0.15</v>
      </c>
    </row>
    <row r="182" spans="1:15" ht="24.75" customHeight="1">
      <c r="A182" s="40" t="s">
        <v>261</v>
      </c>
      <c r="B182" s="31" t="s">
        <v>274</v>
      </c>
      <c r="C182" s="42" t="s">
        <v>18</v>
      </c>
      <c r="D182" s="42" t="s">
        <v>263</v>
      </c>
      <c r="E182" s="43">
        <v>45652</v>
      </c>
      <c r="F182" s="43">
        <v>45698</v>
      </c>
      <c r="G182" s="17" t="s">
        <v>23</v>
      </c>
      <c r="H182" s="30">
        <v>0.05</v>
      </c>
      <c r="I182" s="15" t="s">
        <v>20</v>
      </c>
      <c r="J182" s="44">
        <v>0.01</v>
      </c>
      <c r="K182" s="28"/>
      <c r="L182" s="28"/>
      <c r="M182" s="15"/>
      <c r="N182" s="28"/>
      <c r="O182" s="59">
        <f>H182*J182</f>
        <v>5.0000000000000001E-4</v>
      </c>
    </row>
    <row r="183" spans="1:15" ht="24.75" customHeight="1">
      <c r="A183" s="40" t="s">
        <v>261</v>
      </c>
      <c r="B183" s="31" t="s">
        <v>275</v>
      </c>
      <c r="C183" s="28" t="s">
        <v>31</v>
      </c>
      <c r="D183" s="42" t="s">
        <v>263</v>
      </c>
      <c r="E183" s="43">
        <v>45652</v>
      </c>
      <c r="F183" s="43">
        <v>45698</v>
      </c>
      <c r="G183" s="17" t="s">
        <v>23</v>
      </c>
      <c r="H183" s="30">
        <v>0.05</v>
      </c>
      <c r="I183" s="15" t="s">
        <v>20</v>
      </c>
      <c r="J183" s="44">
        <v>0.01</v>
      </c>
      <c r="K183" s="28"/>
      <c r="L183" s="28"/>
      <c r="M183" s="15"/>
      <c r="N183" s="28"/>
      <c r="O183" s="59">
        <f>H183*J183</f>
        <v>5.0000000000000001E-4</v>
      </c>
    </row>
    <row r="184" spans="1:15" ht="24.75" customHeight="1">
      <c r="A184" s="40" t="s">
        <v>202</v>
      </c>
      <c r="B184" s="41" t="s">
        <v>276</v>
      </c>
      <c r="C184" s="41" t="s">
        <v>101</v>
      </c>
      <c r="D184" s="19" t="s">
        <v>58</v>
      </c>
      <c r="E184" s="43">
        <v>45680</v>
      </c>
      <c r="F184" s="43">
        <v>45688</v>
      </c>
      <c r="G184" s="42" t="s">
        <v>26</v>
      </c>
      <c r="H184" s="44">
        <v>0.05</v>
      </c>
      <c r="I184" s="19" t="s">
        <v>27</v>
      </c>
      <c r="J184" s="44">
        <v>1</v>
      </c>
      <c r="K184" s="41"/>
      <c r="L184" s="41"/>
      <c r="M184" s="45"/>
      <c r="N184" s="41"/>
      <c r="O184" s="46">
        <f>H184*J184</f>
        <v>0.05</v>
      </c>
    </row>
    <row r="185" spans="1:15" ht="24.75" customHeight="1">
      <c r="A185" s="40" t="s">
        <v>237</v>
      </c>
      <c r="B185" s="41" t="s">
        <v>277</v>
      </c>
      <c r="C185" s="41" t="s">
        <v>101</v>
      </c>
      <c r="D185" s="15" t="s">
        <v>239</v>
      </c>
      <c r="E185" s="43">
        <v>45680</v>
      </c>
      <c r="F185" s="43">
        <v>45688</v>
      </c>
      <c r="G185" s="31" t="s">
        <v>278</v>
      </c>
      <c r="H185" s="44">
        <v>0.03</v>
      </c>
      <c r="I185" s="31" t="s">
        <v>27</v>
      </c>
      <c r="J185" s="44">
        <v>1</v>
      </c>
      <c r="K185" s="41"/>
      <c r="L185" s="41"/>
      <c r="M185" s="45"/>
      <c r="N185" s="41"/>
      <c r="O185" s="46">
        <f>H185*J185</f>
        <v>0.03</v>
      </c>
    </row>
    <row r="186" spans="1:15" s="112" customFormat="1" ht="24.75" customHeight="1">
      <c r="A186" s="128" t="s">
        <v>52</v>
      </c>
      <c r="B186" s="129" t="s">
        <v>279</v>
      </c>
      <c r="C186" s="129" t="s">
        <v>44</v>
      </c>
      <c r="D186" s="129" t="s">
        <v>18</v>
      </c>
      <c r="E186" s="130">
        <v>45684</v>
      </c>
      <c r="F186" s="130">
        <v>45685</v>
      </c>
      <c r="G186" s="129" t="s">
        <v>23</v>
      </c>
      <c r="H186" s="131">
        <v>0.1</v>
      </c>
      <c r="I186" s="129" t="s">
        <v>20</v>
      </c>
      <c r="J186" s="131">
        <v>1</v>
      </c>
      <c r="K186" s="129"/>
      <c r="L186" s="129"/>
      <c r="M186" s="129"/>
      <c r="N186" s="129"/>
      <c r="O186" s="132">
        <f>H186*J186</f>
        <v>0.1</v>
      </c>
    </row>
    <row r="187" spans="1:15" s="112" customFormat="1" ht="24.75" customHeight="1">
      <c r="A187" s="128" t="s">
        <v>93</v>
      </c>
      <c r="B187" s="28" t="s">
        <v>280</v>
      </c>
      <c r="C187" s="129" t="s">
        <v>44</v>
      </c>
      <c r="D187" s="129" t="s">
        <v>95</v>
      </c>
      <c r="E187" s="130">
        <v>45658</v>
      </c>
      <c r="F187" s="130">
        <v>45680</v>
      </c>
      <c r="G187" s="129" t="s">
        <v>23</v>
      </c>
      <c r="H187" s="131">
        <v>0.1</v>
      </c>
      <c r="I187" s="129" t="s">
        <v>20</v>
      </c>
      <c r="J187" s="131">
        <v>1</v>
      </c>
      <c r="K187" s="129"/>
      <c r="L187" s="129"/>
      <c r="M187" s="129"/>
      <c r="N187" s="129"/>
      <c r="O187" s="132">
        <f>H187*J187</f>
        <v>0.1</v>
      </c>
    </row>
    <row r="188" spans="1:15" s="112" customFormat="1" ht="24.75" customHeight="1">
      <c r="A188" s="107" t="s">
        <v>93</v>
      </c>
      <c r="B188" s="41" t="s">
        <v>281</v>
      </c>
      <c r="C188" s="129" t="s">
        <v>44</v>
      </c>
      <c r="D188" s="129" t="s">
        <v>95</v>
      </c>
      <c r="E188" s="130">
        <v>45658</v>
      </c>
      <c r="F188" s="130">
        <v>45680</v>
      </c>
      <c r="G188" s="129" t="s">
        <v>23</v>
      </c>
      <c r="H188" s="131">
        <v>0.02</v>
      </c>
      <c r="I188" s="129" t="s">
        <v>20</v>
      </c>
      <c r="J188" s="131">
        <v>1</v>
      </c>
      <c r="K188" s="108"/>
      <c r="L188" s="108"/>
      <c r="M188" s="108"/>
      <c r="N188" s="108"/>
      <c r="O188" s="111">
        <f>H188*J188</f>
        <v>0.02</v>
      </c>
    </row>
    <row r="189" spans="1:15" s="112" customFormat="1" ht="24.75" customHeight="1">
      <c r="A189" s="107" t="s">
        <v>237</v>
      </c>
      <c r="B189" s="108" t="s">
        <v>282</v>
      </c>
      <c r="C189" s="108" t="s">
        <v>44</v>
      </c>
      <c r="D189" s="108" t="s">
        <v>65</v>
      </c>
      <c r="E189" s="109">
        <v>45681</v>
      </c>
      <c r="F189" s="109">
        <v>45688</v>
      </c>
      <c r="G189" s="129" t="s">
        <v>23</v>
      </c>
      <c r="H189" s="110">
        <v>0.05</v>
      </c>
      <c r="I189" s="108" t="s">
        <v>20</v>
      </c>
      <c r="J189" s="110">
        <v>1</v>
      </c>
      <c r="K189" s="108"/>
      <c r="L189" s="108"/>
      <c r="M189" s="108"/>
      <c r="N189" s="108"/>
      <c r="O189" s="111">
        <f>H189*J189</f>
        <v>0.05</v>
      </c>
    </row>
    <row r="190" spans="1:15" s="112" customFormat="1" ht="24.75" customHeight="1">
      <c r="A190" s="107" t="s">
        <v>237</v>
      </c>
      <c r="B190" s="108" t="s">
        <v>283</v>
      </c>
      <c r="C190" s="108" t="s">
        <v>25</v>
      </c>
      <c r="D190" s="108" t="s">
        <v>65</v>
      </c>
      <c r="E190" s="109">
        <v>45681</v>
      </c>
      <c r="F190" s="109">
        <v>45688</v>
      </c>
      <c r="G190" s="129" t="s">
        <v>23</v>
      </c>
      <c r="H190" s="110">
        <v>0.05</v>
      </c>
      <c r="I190" s="108" t="s">
        <v>20</v>
      </c>
      <c r="J190" s="110">
        <v>1</v>
      </c>
      <c r="K190" s="108"/>
      <c r="L190" s="108"/>
      <c r="M190" s="108"/>
      <c r="N190" s="108"/>
      <c r="O190" s="111">
        <f>H190*J190</f>
        <v>0.05</v>
      </c>
    </row>
    <row r="191" spans="1:15" ht="24.75" customHeight="1">
      <c r="A191" s="40" t="s">
        <v>284</v>
      </c>
      <c r="B191" s="41" t="s">
        <v>285</v>
      </c>
      <c r="C191" s="108" t="s">
        <v>25</v>
      </c>
      <c r="D191" s="42" t="s">
        <v>54</v>
      </c>
      <c r="E191" s="43">
        <v>45695</v>
      </c>
      <c r="F191" s="43">
        <v>45723</v>
      </c>
      <c r="G191" s="42" t="s">
        <v>26</v>
      </c>
      <c r="H191" s="44">
        <v>0.6</v>
      </c>
      <c r="I191" s="31" t="s">
        <v>46</v>
      </c>
      <c r="J191" s="44">
        <v>1</v>
      </c>
      <c r="K191" s="41" t="s">
        <v>286</v>
      </c>
      <c r="L191" s="41" t="s">
        <v>287</v>
      </c>
      <c r="M191" s="45" t="s">
        <v>23</v>
      </c>
      <c r="N191" s="41"/>
      <c r="O191" s="46">
        <f>H191*J191</f>
        <v>0.6</v>
      </c>
    </row>
    <row r="192" spans="1:15" ht="24.75" customHeight="1">
      <c r="A192" s="40" t="s">
        <v>284</v>
      </c>
      <c r="B192" s="28" t="s">
        <v>288</v>
      </c>
      <c r="C192" s="108" t="s">
        <v>25</v>
      </c>
      <c r="D192" s="42" t="s">
        <v>54</v>
      </c>
      <c r="E192" s="43">
        <v>45696</v>
      </c>
      <c r="F192" s="43">
        <v>45724</v>
      </c>
      <c r="G192" s="42" t="s">
        <v>26</v>
      </c>
      <c r="H192" s="30">
        <v>0.1</v>
      </c>
      <c r="I192" s="31" t="s">
        <v>46</v>
      </c>
      <c r="J192" s="44">
        <v>0.9</v>
      </c>
      <c r="K192" s="41" t="s">
        <v>260</v>
      </c>
      <c r="L192" s="41" t="s">
        <v>287</v>
      </c>
      <c r="M192" s="45" t="s">
        <v>26</v>
      </c>
      <c r="N192" s="28"/>
      <c r="O192" s="59">
        <f t="shared" ref="O192:O193" si="0">H192*J192</f>
        <v>9.0000000000000011E-2</v>
      </c>
    </row>
    <row r="193" spans="1:15" ht="24.75" customHeight="1">
      <c r="A193" s="40" t="s">
        <v>284</v>
      </c>
      <c r="B193" s="28" t="s">
        <v>289</v>
      </c>
      <c r="C193" s="108" t="s">
        <v>101</v>
      </c>
      <c r="D193" s="42" t="s">
        <v>54</v>
      </c>
      <c r="E193" s="43">
        <v>45695</v>
      </c>
      <c r="F193" s="43">
        <v>45723</v>
      </c>
      <c r="G193" s="42" t="s">
        <v>26</v>
      </c>
      <c r="H193" s="30">
        <v>0.05</v>
      </c>
      <c r="I193" s="31" t="s">
        <v>46</v>
      </c>
      <c r="J193" s="44">
        <v>1</v>
      </c>
      <c r="K193" s="28"/>
      <c r="L193" s="28"/>
      <c r="M193" s="15"/>
      <c r="N193" s="28"/>
      <c r="O193" s="59">
        <f t="shared" si="0"/>
        <v>0.05</v>
      </c>
    </row>
    <row r="194" spans="1:15" ht="24.75" customHeight="1">
      <c r="A194" s="40" t="s">
        <v>284</v>
      </c>
      <c r="B194" s="28" t="s">
        <v>290</v>
      </c>
      <c r="C194" s="42" t="s">
        <v>54</v>
      </c>
      <c r="D194" s="42" t="s">
        <v>54</v>
      </c>
      <c r="E194" s="43">
        <v>45695</v>
      </c>
      <c r="F194" s="29">
        <v>45723</v>
      </c>
      <c r="G194" s="42" t="s">
        <v>26</v>
      </c>
      <c r="H194" s="30">
        <v>0.1</v>
      </c>
      <c r="I194" s="31" t="s">
        <v>27</v>
      </c>
      <c r="J194" s="44">
        <v>1</v>
      </c>
      <c r="K194" s="28"/>
      <c r="L194" s="28"/>
      <c r="M194" s="15"/>
      <c r="N194" s="28"/>
      <c r="O194" s="59">
        <f t="shared" ref="O194:O195" si="1">H194*J194</f>
        <v>0.1</v>
      </c>
    </row>
    <row r="195" spans="1:15" ht="24.75" customHeight="1">
      <c r="A195" s="40" t="s">
        <v>284</v>
      </c>
      <c r="B195" s="28" t="s">
        <v>291</v>
      </c>
      <c r="C195" s="42" t="s">
        <v>54</v>
      </c>
      <c r="D195" s="42" t="s">
        <v>54</v>
      </c>
      <c r="E195" s="43">
        <v>45695</v>
      </c>
      <c r="F195" s="29">
        <v>45723</v>
      </c>
      <c r="G195" s="42" t="s">
        <v>26</v>
      </c>
      <c r="H195" s="30">
        <v>0.02</v>
      </c>
      <c r="I195" s="31" t="s">
        <v>27</v>
      </c>
      <c r="J195" s="44">
        <v>1</v>
      </c>
      <c r="K195" s="28"/>
      <c r="L195" s="28"/>
      <c r="M195" s="15"/>
      <c r="N195" s="28"/>
      <c r="O195" s="59">
        <f t="shared" si="1"/>
        <v>0.02</v>
      </c>
    </row>
    <row r="196" spans="1:15" ht="24.75" customHeight="1">
      <c r="A196" s="40" t="s">
        <v>284</v>
      </c>
      <c r="B196" s="28" t="s">
        <v>292</v>
      </c>
      <c r="C196" s="28" t="s">
        <v>287</v>
      </c>
      <c r="D196" s="42" t="s">
        <v>54</v>
      </c>
      <c r="E196" s="29">
        <v>45695</v>
      </c>
      <c r="F196" s="29">
        <v>45723</v>
      </c>
      <c r="G196" s="42" t="s">
        <v>26</v>
      </c>
      <c r="H196" s="30">
        <v>0.03</v>
      </c>
      <c r="I196" s="31" t="s">
        <v>27</v>
      </c>
      <c r="J196" s="44">
        <v>1</v>
      </c>
      <c r="K196" s="28"/>
      <c r="L196" s="28"/>
      <c r="M196" s="15"/>
      <c r="N196" s="28"/>
      <c r="O196" s="59">
        <f>H196*J196</f>
        <v>0.03</v>
      </c>
    </row>
    <row r="197" spans="1:15" ht="24.75" customHeight="1">
      <c r="A197" s="58" t="s">
        <v>107</v>
      </c>
      <c r="B197" s="28" t="s">
        <v>293</v>
      </c>
      <c r="C197" s="28" t="s">
        <v>111</v>
      </c>
      <c r="D197" s="28" t="s">
        <v>18</v>
      </c>
      <c r="E197" s="29">
        <v>45681</v>
      </c>
      <c r="F197" s="29">
        <v>45686</v>
      </c>
      <c r="G197" s="19" t="s">
        <v>23</v>
      </c>
      <c r="H197" s="30">
        <v>0.1</v>
      </c>
      <c r="I197" s="28" t="s">
        <v>20</v>
      </c>
      <c r="J197" s="30">
        <v>1</v>
      </c>
      <c r="K197" s="28"/>
      <c r="L197" s="28"/>
      <c r="M197" s="15"/>
      <c r="N197" s="28"/>
      <c r="O197" s="59">
        <f>H197*J197</f>
        <v>0.1</v>
      </c>
    </row>
    <row r="198" spans="1:15" ht="24.75" customHeight="1">
      <c r="A198" s="40" t="s">
        <v>122</v>
      </c>
      <c r="B198" s="41" t="s">
        <v>294</v>
      </c>
      <c r="C198" s="41" t="s">
        <v>25</v>
      </c>
      <c r="D198" s="42" t="s">
        <v>58</v>
      </c>
      <c r="E198" s="43">
        <v>45625</v>
      </c>
      <c r="F198" s="43">
        <v>45630</v>
      </c>
      <c r="G198" s="42" t="s">
        <v>23</v>
      </c>
      <c r="H198" s="44">
        <v>0.05</v>
      </c>
      <c r="I198" s="41" t="s">
        <v>84</v>
      </c>
      <c r="J198" s="44">
        <v>1</v>
      </c>
      <c r="K198" s="41"/>
      <c r="L198" s="41"/>
      <c r="M198" s="45"/>
      <c r="N198" s="41"/>
      <c r="O198" s="46">
        <f>H198*J198</f>
        <v>0.05</v>
      </c>
    </row>
    <row r="199" spans="1:15" ht="24.75" customHeight="1">
      <c r="A199" s="145" t="s">
        <v>139</v>
      </c>
      <c r="B199" s="146" t="s">
        <v>138</v>
      </c>
      <c r="C199" s="146" t="s">
        <v>25</v>
      </c>
      <c r="D199" s="42" t="s">
        <v>65</v>
      </c>
      <c r="E199" s="43">
        <v>45650</v>
      </c>
      <c r="F199" s="43">
        <v>45659</v>
      </c>
      <c r="G199" s="42" t="s">
        <v>23</v>
      </c>
      <c r="H199" s="44">
        <v>0.05</v>
      </c>
      <c r="I199" s="41" t="s">
        <v>20</v>
      </c>
      <c r="J199" s="44">
        <v>1</v>
      </c>
      <c r="K199" s="41"/>
      <c r="L199" s="41"/>
      <c r="M199" s="45"/>
      <c r="N199" s="41"/>
      <c r="O199" s="46">
        <f>H199*J199</f>
        <v>0.05</v>
      </c>
    </row>
    <row r="200" spans="1:15" ht="24.75" customHeight="1">
      <c r="A200" s="147" t="s">
        <v>214</v>
      </c>
      <c r="B200" s="41" t="s">
        <v>295</v>
      </c>
      <c r="C200" s="41" t="s">
        <v>25</v>
      </c>
      <c r="D200" s="42" t="s">
        <v>111</v>
      </c>
      <c r="E200" s="43">
        <v>45698</v>
      </c>
      <c r="F200" s="43">
        <v>45705</v>
      </c>
      <c r="G200" s="42" t="s">
        <v>278</v>
      </c>
      <c r="H200" s="44">
        <v>0.02</v>
      </c>
      <c r="I200" s="41" t="s">
        <v>46</v>
      </c>
      <c r="J200" s="44">
        <v>1</v>
      </c>
      <c r="K200" s="41"/>
      <c r="L200" s="41"/>
      <c r="M200" s="45"/>
      <c r="N200" s="41"/>
      <c r="O200" s="46">
        <f>H200*J200</f>
        <v>0.02</v>
      </c>
    </row>
    <row r="201" spans="1:15" ht="24.75" customHeight="1">
      <c r="A201" s="40" t="s">
        <v>118</v>
      </c>
      <c r="B201" s="41" t="s">
        <v>296</v>
      </c>
      <c r="C201" s="41" t="s">
        <v>44</v>
      </c>
      <c r="D201" s="42" t="s">
        <v>18</v>
      </c>
      <c r="E201" s="43">
        <v>45715</v>
      </c>
      <c r="F201" s="43">
        <v>45722</v>
      </c>
      <c r="G201" s="129" t="s">
        <v>23</v>
      </c>
      <c r="H201" s="44">
        <v>0.05</v>
      </c>
      <c r="I201" s="41" t="s">
        <v>20</v>
      </c>
      <c r="J201" s="30">
        <v>1</v>
      </c>
      <c r="K201" s="41"/>
      <c r="L201" s="41"/>
      <c r="M201" s="45"/>
      <c r="N201" s="41"/>
      <c r="O201" s="46">
        <f>H201*J201</f>
        <v>0.05</v>
      </c>
    </row>
    <row r="202" spans="1:15" ht="24.75" customHeight="1">
      <c r="A202" s="40" t="s">
        <v>118</v>
      </c>
      <c r="B202" s="41" t="s">
        <v>297</v>
      </c>
      <c r="C202" s="41" t="s">
        <v>44</v>
      </c>
      <c r="D202" s="42" t="s">
        <v>18</v>
      </c>
      <c r="E202" s="43">
        <v>45715</v>
      </c>
      <c r="F202" s="29">
        <v>45719</v>
      </c>
      <c r="G202" s="129" t="s">
        <v>23</v>
      </c>
      <c r="H202" s="44">
        <v>0.05</v>
      </c>
      <c r="I202" s="28" t="s">
        <v>20</v>
      </c>
      <c r="J202" s="30">
        <v>1</v>
      </c>
      <c r="K202" s="28"/>
      <c r="L202" s="28"/>
      <c r="M202" s="15"/>
      <c r="N202" s="28"/>
      <c r="O202" s="59">
        <f>H202*J202</f>
        <v>0.05</v>
      </c>
    </row>
    <row r="203" spans="1:15" s="154" customFormat="1" ht="24.75" customHeight="1">
      <c r="A203" s="148" t="s">
        <v>139</v>
      </c>
      <c r="B203" s="149" t="s">
        <v>298</v>
      </c>
      <c r="C203" s="149" t="s">
        <v>44</v>
      </c>
      <c r="D203" s="149" t="s">
        <v>65</v>
      </c>
      <c r="E203" s="150">
        <v>45716</v>
      </c>
      <c r="F203" s="150">
        <v>45717</v>
      </c>
      <c r="G203" s="149" t="s">
        <v>23</v>
      </c>
      <c r="H203" s="151">
        <v>0.05</v>
      </c>
      <c r="I203" s="152" t="s">
        <v>20</v>
      </c>
      <c r="J203" s="151">
        <v>1</v>
      </c>
      <c r="K203" s="149"/>
      <c r="L203" s="149"/>
      <c r="M203" s="149"/>
      <c r="N203" s="149"/>
      <c r="O203" s="153">
        <f>H203*J203</f>
        <v>0.05</v>
      </c>
    </row>
    <row r="204" spans="1:15" ht="24.75" customHeight="1">
      <c r="A204" s="148" t="s">
        <v>139</v>
      </c>
      <c r="B204" s="41" t="s">
        <v>180</v>
      </c>
      <c r="C204" s="41" t="s">
        <v>44</v>
      </c>
      <c r="D204" s="149" t="s">
        <v>65</v>
      </c>
      <c r="E204" s="150">
        <v>45716</v>
      </c>
      <c r="F204" s="43">
        <v>45730</v>
      </c>
      <c r="G204" s="149" t="s">
        <v>23</v>
      </c>
      <c r="H204" s="44">
        <v>0.1</v>
      </c>
      <c r="I204" s="152" t="s">
        <v>20</v>
      </c>
      <c r="J204" s="44">
        <v>1</v>
      </c>
      <c r="K204" s="41"/>
      <c r="L204" s="41"/>
      <c r="M204" s="45"/>
      <c r="N204" s="41"/>
      <c r="O204" s="46">
        <f>H204*J204</f>
        <v>0.1</v>
      </c>
    </row>
    <row r="205" spans="1:15" s="154" customFormat="1" ht="24.75" customHeight="1">
      <c r="A205" s="155" t="s">
        <v>182</v>
      </c>
      <c r="B205" s="149" t="s">
        <v>180</v>
      </c>
      <c r="C205" s="149" t="s">
        <v>44</v>
      </c>
      <c r="D205" s="34" t="s">
        <v>18</v>
      </c>
      <c r="E205" s="150">
        <v>45595</v>
      </c>
      <c r="F205" s="150">
        <v>45622</v>
      </c>
      <c r="G205" s="156" t="s">
        <v>23</v>
      </c>
      <c r="H205" s="151">
        <v>0.05</v>
      </c>
      <c r="I205" s="157" t="s">
        <v>20</v>
      </c>
      <c r="J205" s="151">
        <v>1</v>
      </c>
      <c r="K205" s="149"/>
      <c r="L205" s="149"/>
      <c r="M205" s="149"/>
      <c r="N205" s="149"/>
      <c r="O205" s="153">
        <f>H205*J205</f>
        <v>0.05</v>
      </c>
    </row>
    <row r="206" spans="1:15" ht="24.75" customHeight="1">
      <c r="A206" s="155" t="s">
        <v>182</v>
      </c>
      <c r="B206" s="41" t="s">
        <v>299</v>
      </c>
      <c r="C206" s="149" t="s">
        <v>44</v>
      </c>
      <c r="D206" s="34" t="s">
        <v>18</v>
      </c>
      <c r="E206" s="43">
        <v>45705</v>
      </c>
      <c r="F206" s="43">
        <v>45735</v>
      </c>
      <c r="G206" s="156" t="s">
        <v>23</v>
      </c>
      <c r="H206" s="151">
        <v>0.05</v>
      </c>
      <c r="I206" s="157" t="s">
        <v>20</v>
      </c>
      <c r="J206" s="151">
        <v>1</v>
      </c>
      <c r="K206" s="41"/>
      <c r="L206" s="41"/>
      <c r="M206" s="45"/>
      <c r="N206" s="41"/>
      <c r="O206" s="46">
        <f>H206*J206</f>
        <v>0.05</v>
      </c>
    </row>
    <row r="207" spans="1:15" ht="24.75" customHeight="1">
      <c r="A207" s="155" t="s">
        <v>182</v>
      </c>
      <c r="B207" s="41" t="s">
        <v>300</v>
      </c>
      <c r="C207" s="149" t="s">
        <v>44</v>
      </c>
      <c r="D207" s="34" t="s">
        <v>18</v>
      </c>
      <c r="E207" s="43">
        <v>45737</v>
      </c>
      <c r="F207" s="43">
        <v>45741</v>
      </c>
      <c r="G207" s="156" t="s">
        <v>23</v>
      </c>
      <c r="H207" s="151">
        <v>0.05</v>
      </c>
      <c r="I207" s="157" t="s">
        <v>20</v>
      </c>
      <c r="J207" s="151">
        <v>1</v>
      </c>
      <c r="K207" s="41"/>
      <c r="L207" s="41"/>
      <c r="M207" s="45"/>
      <c r="N207" s="41"/>
      <c r="O207" s="46">
        <f>H207*J207</f>
        <v>0.05</v>
      </c>
    </row>
    <row r="208" spans="1:15" ht="24.75" customHeight="1">
      <c r="A208" s="40" t="s">
        <v>301</v>
      </c>
      <c r="B208" s="41" t="s">
        <v>302</v>
      </c>
      <c r="C208" s="41" t="s">
        <v>56</v>
      </c>
      <c r="D208" s="34" t="s">
        <v>18</v>
      </c>
      <c r="E208" s="43">
        <v>45723</v>
      </c>
      <c r="F208" s="43">
        <v>45745</v>
      </c>
      <c r="G208" s="42" t="s">
        <v>26</v>
      </c>
      <c r="H208" s="44">
        <v>0.5</v>
      </c>
      <c r="I208" s="31" t="s">
        <v>27</v>
      </c>
      <c r="J208" s="44">
        <v>1</v>
      </c>
      <c r="K208" s="41"/>
      <c r="L208" s="41"/>
      <c r="M208" s="45"/>
      <c r="N208" s="41"/>
      <c r="O208" s="46">
        <f>H208*J208</f>
        <v>0.5</v>
      </c>
    </row>
    <row r="209" spans="1:15" ht="24.75" customHeight="1">
      <c r="A209" s="40" t="s">
        <v>301</v>
      </c>
      <c r="B209" s="41" t="s">
        <v>303</v>
      </c>
      <c r="C209" s="41" t="s">
        <v>56</v>
      </c>
      <c r="D209" s="34" t="s">
        <v>18</v>
      </c>
      <c r="E209" s="43">
        <v>45723</v>
      </c>
      <c r="F209" s="43">
        <v>45745</v>
      </c>
      <c r="G209" s="42" t="s">
        <v>26</v>
      </c>
      <c r="H209" s="44">
        <v>0.3</v>
      </c>
      <c r="I209" s="31" t="s">
        <v>27</v>
      </c>
      <c r="J209" s="44">
        <v>1</v>
      </c>
      <c r="K209" s="41"/>
      <c r="L209" s="41"/>
      <c r="M209" s="45"/>
      <c r="N209" s="41"/>
      <c r="O209" s="46">
        <f>H209*J209</f>
        <v>0.3</v>
      </c>
    </row>
    <row r="210" spans="1:15" ht="24.75" customHeight="1">
      <c r="A210" s="40" t="s">
        <v>301</v>
      </c>
      <c r="B210" s="28" t="s">
        <v>304</v>
      </c>
      <c r="C210" s="41" t="s">
        <v>56</v>
      </c>
      <c r="D210" s="34" t="s">
        <v>18</v>
      </c>
      <c r="E210" s="29">
        <v>45723</v>
      </c>
      <c r="F210" s="29">
        <v>45745</v>
      </c>
      <c r="G210" s="42" t="s">
        <v>26</v>
      </c>
      <c r="H210" s="30">
        <v>0.15</v>
      </c>
      <c r="I210" s="31" t="s">
        <v>27</v>
      </c>
      <c r="J210" s="44">
        <v>0.8</v>
      </c>
      <c r="K210" s="28"/>
      <c r="L210" s="28"/>
      <c r="M210" s="15"/>
      <c r="N210" s="28"/>
      <c r="O210" s="59">
        <f>H210*J210</f>
        <v>0.12</v>
      </c>
    </row>
    <row r="211" spans="1:15" ht="24.75" customHeight="1">
      <c r="A211" s="40" t="s">
        <v>301</v>
      </c>
      <c r="B211" s="41" t="s">
        <v>305</v>
      </c>
      <c r="C211" s="41" t="s">
        <v>287</v>
      </c>
      <c r="D211" s="34" t="s">
        <v>18</v>
      </c>
      <c r="E211" s="43">
        <v>45723</v>
      </c>
      <c r="F211" s="43">
        <v>45745</v>
      </c>
      <c r="G211" s="42" t="s">
        <v>26</v>
      </c>
      <c r="H211" s="44">
        <v>0.05</v>
      </c>
      <c r="I211" s="31" t="s">
        <v>27</v>
      </c>
      <c r="J211" s="44">
        <v>1</v>
      </c>
      <c r="K211" s="41"/>
      <c r="L211" s="41"/>
      <c r="M211" s="45"/>
      <c r="N211" s="41"/>
      <c r="O211" s="46">
        <f>H211*J211</f>
        <v>0.05</v>
      </c>
    </row>
    <row r="212" spans="1:15" ht="24.75" customHeight="1">
      <c r="A212" s="40" t="s">
        <v>306</v>
      </c>
      <c r="B212" s="41" t="s">
        <v>307</v>
      </c>
      <c r="C212" s="41" t="s">
        <v>44</v>
      </c>
      <c r="D212" s="34" t="s">
        <v>18</v>
      </c>
      <c r="E212" s="43">
        <v>45723</v>
      </c>
      <c r="F212" s="43">
        <v>45745</v>
      </c>
      <c r="G212" s="42" t="s">
        <v>19</v>
      </c>
      <c r="H212" s="44">
        <v>0.9</v>
      </c>
      <c r="I212" s="31" t="s">
        <v>20</v>
      </c>
      <c r="J212" s="44">
        <v>1</v>
      </c>
      <c r="K212" s="41"/>
      <c r="L212" s="41"/>
      <c r="M212" s="45"/>
      <c r="N212" s="41"/>
      <c r="O212" s="46">
        <f>H212*J212</f>
        <v>0.9</v>
      </c>
    </row>
    <row r="213" spans="1:15" ht="24.75" customHeight="1">
      <c r="A213" s="40" t="s">
        <v>306</v>
      </c>
      <c r="B213" s="41" t="s">
        <v>308</v>
      </c>
      <c r="C213" s="41" t="s">
        <v>309</v>
      </c>
      <c r="D213" s="34" t="s">
        <v>18</v>
      </c>
      <c r="E213" s="43">
        <v>45723</v>
      </c>
      <c r="F213" s="43">
        <v>45745</v>
      </c>
      <c r="G213" s="158" t="s">
        <v>19</v>
      </c>
      <c r="H213" s="44">
        <v>0.1</v>
      </c>
      <c r="I213" s="31" t="s">
        <v>20</v>
      </c>
      <c r="J213" s="44">
        <v>1</v>
      </c>
      <c r="K213" s="41"/>
      <c r="L213" s="41"/>
      <c r="M213" s="45"/>
      <c r="N213" s="41"/>
      <c r="O213" s="46">
        <f>H213*J213</f>
        <v>0.1</v>
      </c>
    </row>
    <row r="214" spans="1:15" ht="24.75" customHeight="1">
      <c r="A214" s="40" t="s">
        <v>261</v>
      </c>
      <c r="B214" s="41" t="s">
        <v>180</v>
      </c>
      <c r="C214" s="149" t="s">
        <v>44</v>
      </c>
      <c r="D214" s="42" t="s">
        <v>263</v>
      </c>
      <c r="E214" s="43">
        <v>45733</v>
      </c>
      <c r="F214" s="43">
        <v>45736</v>
      </c>
      <c r="G214" s="17" t="s">
        <v>23</v>
      </c>
      <c r="H214" s="151">
        <v>0.05</v>
      </c>
      <c r="I214" s="15" t="s">
        <v>20</v>
      </c>
      <c r="J214" s="44">
        <v>0.9</v>
      </c>
      <c r="K214" s="41"/>
      <c r="L214" s="41"/>
      <c r="M214" s="45"/>
      <c r="N214" s="41"/>
      <c r="O214" s="46">
        <f>H214*J214</f>
        <v>4.5000000000000005E-2</v>
      </c>
    </row>
    <row r="215" spans="1:15" ht="24.75" customHeight="1">
      <c r="A215" s="40" t="s">
        <v>310</v>
      </c>
      <c r="B215" s="41" t="s">
        <v>311</v>
      </c>
      <c r="C215" s="41" t="s">
        <v>64</v>
      </c>
      <c r="D215" s="42" t="s">
        <v>312</v>
      </c>
      <c r="E215" s="43">
        <v>45723</v>
      </c>
      <c r="F215" s="43">
        <v>45755</v>
      </c>
      <c r="G215" s="42" t="s">
        <v>19</v>
      </c>
      <c r="H215" s="44">
        <v>1</v>
      </c>
      <c r="I215" s="31" t="s">
        <v>20</v>
      </c>
      <c r="J215" s="44">
        <v>1</v>
      </c>
      <c r="K215" s="41"/>
      <c r="L215" s="41"/>
      <c r="M215" s="45"/>
      <c r="N215" s="41"/>
      <c r="O215" s="46">
        <f>H215*J215</f>
        <v>1</v>
      </c>
    </row>
    <row r="216" spans="1:15" ht="24.75" customHeight="1">
      <c r="A216" s="40" t="s">
        <v>313</v>
      </c>
      <c r="B216" s="41" t="s">
        <v>314</v>
      </c>
      <c r="C216" s="41" t="s">
        <v>64</v>
      </c>
      <c r="D216" s="42" t="s">
        <v>312</v>
      </c>
      <c r="E216" s="43">
        <v>45778</v>
      </c>
      <c r="F216" s="43">
        <v>45808</v>
      </c>
      <c r="G216" s="42" t="s">
        <v>46</v>
      </c>
      <c r="H216" s="44">
        <v>1</v>
      </c>
      <c r="I216" s="93" t="s">
        <v>46</v>
      </c>
      <c r="J216" s="44">
        <v>0.8</v>
      </c>
      <c r="K216" s="41"/>
      <c r="L216" s="41"/>
      <c r="M216" s="45"/>
      <c r="N216" s="41"/>
      <c r="O216" s="46">
        <f>H216*J216</f>
        <v>0.8</v>
      </c>
    </row>
    <row r="217" spans="1:15" ht="24.75" customHeight="1">
      <c r="A217" s="28" t="s">
        <v>315</v>
      </c>
      <c r="B217" s="28" t="s">
        <v>316</v>
      </c>
      <c r="C217" s="28" t="s">
        <v>317</v>
      </c>
      <c r="D217" s="19" t="s">
        <v>18</v>
      </c>
      <c r="E217" s="29">
        <v>45786</v>
      </c>
      <c r="F217" s="29">
        <v>45836</v>
      </c>
      <c r="G217" s="19" t="s">
        <v>46</v>
      </c>
      <c r="H217" s="30">
        <v>0.1</v>
      </c>
      <c r="I217" s="31" t="s">
        <v>27</v>
      </c>
      <c r="J217" s="30">
        <v>0.05</v>
      </c>
      <c r="K217" s="28" t="s">
        <v>318</v>
      </c>
      <c r="L217" s="28" t="s">
        <v>309</v>
      </c>
      <c r="M217" s="15"/>
      <c r="N217" s="28"/>
      <c r="O217" s="163">
        <f>H217*J217</f>
        <v>5.000000000000001E-3</v>
      </c>
    </row>
    <row r="218" spans="1:15" ht="24.75" customHeight="1">
      <c r="A218" s="28" t="s">
        <v>315</v>
      </c>
      <c r="B218" s="28" t="s">
        <v>319</v>
      </c>
      <c r="C218" s="28" t="s">
        <v>111</v>
      </c>
      <c r="D218" s="19" t="s">
        <v>18</v>
      </c>
      <c r="E218" s="29">
        <v>45786</v>
      </c>
      <c r="F218" s="29">
        <v>45836</v>
      </c>
      <c r="G218" s="19" t="s">
        <v>46</v>
      </c>
      <c r="H218" s="30">
        <v>0.1</v>
      </c>
      <c r="I218" s="31" t="s">
        <v>27</v>
      </c>
      <c r="J218" s="30">
        <v>0.05</v>
      </c>
      <c r="K218" s="28" t="s">
        <v>320</v>
      </c>
      <c r="L218" s="28" t="s">
        <v>309</v>
      </c>
      <c r="M218" s="15"/>
      <c r="N218" s="28"/>
      <c r="O218" s="163">
        <f>H218*J218</f>
        <v>5.000000000000001E-3</v>
      </c>
    </row>
    <row r="219" spans="1:15" ht="24.75" customHeight="1">
      <c r="A219" s="28" t="s">
        <v>315</v>
      </c>
      <c r="B219" s="162" t="s">
        <v>321</v>
      </c>
      <c r="C219" s="28" t="s">
        <v>44</v>
      </c>
      <c r="D219" s="19" t="s">
        <v>18</v>
      </c>
      <c r="E219" s="29">
        <v>45786</v>
      </c>
      <c r="F219" s="29">
        <v>45836</v>
      </c>
      <c r="G219" s="19" t="s">
        <v>46</v>
      </c>
      <c r="H219" s="30">
        <v>0.05</v>
      </c>
      <c r="I219" s="31" t="s">
        <v>27</v>
      </c>
      <c r="J219" s="30">
        <v>0.05</v>
      </c>
      <c r="K219" s="28" t="s">
        <v>322</v>
      </c>
      <c r="L219" s="28" t="s">
        <v>309</v>
      </c>
      <c r="M219" s="15"/>
      <c r="N219" s="28"/>
      <c r="O219" s="163">
        <f t="shared" ref="O219:O221" si="2">H219*J219</f>
        <v>2.5000000000000005E-3</v>
      </c>
    </row>
    <row r="220" spans="1:15" ht="24.75" customHeight="1">
      <c r="A220" s="28" t="s">
        <v>315</v>
      </c>
      <c r="B220" s="162" t="s">
        <v>262</v>
      </c>
      <c r="C220" s="28" t="s">
        <v>17</v>
      </c>
      <c r="D220" s="19" t="s">
        <v>18</v>
      </c>
      <c r="E220" s="29">
        <v>45786</v>
      </c>
      <c r="F220" s="29">
        <v>45836</v>
      </c>
      <c r="G220" s="19" t="s">
        <v>46</v>
      </c>
      <c r="H220" s="30">
        <v>0.05</v>
      </c>
      <c r="I220" s="31" t="s">
        <v>27</v>
      </c>
      <c r="J220" s="30">
        <v>0.05</v>
      </c>
      <c r="K220" s="28" t="s">
        <v>323</v>
      </c>
      <c r="L220" s="28" t="s">
        <v>309</v>
      </c>
      <c r="M220" s="15"/>
      <c r="N220" s="28"/>
      <c r="O220" s="163">
        <f t="shared" si="2"/>
        <v>2.5000000000000005E-3</v>
      </c>
    </row>
    <row r="221" spans="1:15" ht="24.75" customHeight="1">
      <c r="A221" s="28" t="s">
        <v>315</v>
      </c>
      <c r="B221" s="162" t="s">
        <v>264</v>
      </c>
      <c r="C221" s="28" t="s">
        <v>17</v>
      </c>
      <c r="D221" s="19" t="s">
        <v>18</v>
      </c>
      <c r="E221" s="29">
        <v>45786</v>
      </c>
      <c r="F221" s="29">
        <v>45836</v>
      </c>
      <c r="G221" s="19" t="s">
        <v>46</v>
      </c>
      <c r="H221" s="30">
        <v>0.05</v>
      </c>
      <c r="I221" s="31" t="s">
        <v>27</v>
      </c>
      <c r="J221" s="30">
        <v>0.05</v>
      </c>
      <c r="K221" s="28" t="s">
        <v>323</v>
      </c>
      <c r="L221" s="28" t="s">
        <v>309</v>
      </c>
      <c r="M221" s="15"/>
      <c r="N221" s="28"/>
      <c r="O221" s="163">
        <f t="shared" si="2"/>
        <v>2.5000000000000005E-3</v>
      </c>
    </row>
    <row r="222" spans="1:15" ht="24.75" customHeight="1">
      <c r="A222" s="28" t="s">
        <v>315</v>
      </c>
      <c r="B222" s="162" t="s">
        <v>324</v>
      </c>
      <c r="C222" s="28" t="s">
        <v>325</v>
      </c>
      <c r="D222" s="19" t="s">
        <v>18</v>
      </c>
      <c r="E222" s="29">
        <v>45786</v>
      </c>
      <c r="F222" s="29">
        <v>45836</v>
      </c>
      <c r="G222" s="19" t="s">
        <v>46</v>
      </c>
      <c r="H222" s="30">
        <v>0.05</v>
      </c>
      <c r="I222" s="31" t="s">
        <v>27</v>
      </c>
      <c r="J222" s="30">
        <v>0.05</v>
      </c>
      <c r="K222" s="28" t="s">
        <v>323</v>
      </c>
      <c r="L222" s="28" t="s">
        <v>309</v>
      </c>
      <c r="M222" s="15"/>
      <c r="N222" s="28"/>
      <c r="O222" s="163">
        <f t="shared" ref="O222:O223" si="3">H222*J222</f>
        <v>2.5000000000000005E-3</v>
      </c>
    </row>
    <row r="223" spans="1:15" ht="24.75" customHeight="1">
      <c r="A223" s="28" t="s">
        <v>315</v>
      </c>
      <c r="B223" s="162" t="s">
        <v>326</v>
      </c>
      <c r="C223" s="28" t="s">
        <v>325</v>
      </c>
      <c r="D223" s="19" t="s">
        <v>18</v>
      </c>
      <c r="E223" s="29">
        <v>45786</v>
      </c>
      <c r="F223" s="29">
        <v>45836</v>
      </c>
      <c r="G223" s="19" t="s">
        <v>46</v>
      </c>
      <c r="H223" s="30">
        <v>0.1</v>
      </c>
      <c r="I223" s="31" t="s">
        <v>27</v>
      </c>
      <c r="J223" s="30">
        <v>0.05</v>
      </c>
      <c r="K223" s="28" t="s">
        <v>318</v>
      </c>
      <c r="L223" s="28" t="s">
        <v>309</v>
      </c>
      <c r="M223" s="15"/>
      <c r="N223" s="28"/>
      <c r="O223" s="163">
        <f t="shared" si="3"/>
        <v>5.000000000000001E-3</v>
      </c>
    </row>
    <row r="224" spans="1:15" ht="24.75" customHeight="1">
      <c r="A224" s="28" t="s">
        <v>315</v>
      </c>
      <c r="B224" s="162" t="s">
        <v>327</v>
      </c>
      <c r="C224" s="28" t="s">
        <v>44</v>
      </c>
      <c r="D224" s="19" t="s">
        <v>18</v>
      </c>
      <c r="E224" s="29">
        <v>45786</v>
      </c>
      <c r="F224" s="29">
        <v>45836</v>
      </c>
      <c r="G224" s="19" t="s">
        <v>46</v>
      </c>
      <c r="H224" s="30">
        <v>0.05</v>
      </c>
      <c r="I224" s="31" t="s">
        <v>27</v>
      </c>
      <c r="J224" s="30">
        <v>0.05</v>
      </c>
      <c r="K224" s="28"/>
      <c r="L224" s="28" t="s">
        <v>309</v>
      </c>
      <c r="M224" s="15"/>
      <c r="N224" s="28"/>
      <c r="O224" s="163">
        <f t="shared" ref="O224:O229" si="4">H224*J224</f>
        <v>2.5000000000000005E-3</v>
      </c>
    </row>
    <row r="225" spans="1:15" ht="24.75" customHeight="1">
      <c r="A225" s="28" t="s">
        <v>315</v>
      </c>
      <c r="B225" s="162" t="s">
        <v>328</v>
      </c>
      <c r="C225" s="28" t="s">
        <v>111</v>
      </c>
      <c r="D225" s="19" t="s">
        <v>18</v>
      </c>
      <c r="E225" s="29">
        <v>45786</v>
      </c>
      <c r="F225" s="29">
        <v>45836</v>
      </c>
      <c r="G225" s="19" t="s">
        <v>46</v>
      </c>
      <c r="H225" s="30">
        <v>0.05</v>
      </c>
      <c r="I225" s="31" t="s">
        <v>27</v>
      </c>
      <c r="J225" s="30">
        <v>0.05</v>
      </c>
      <c r="K225" s="28" t="s">
        <v>323</v>
      </c>
      <c r="L225" s="28" t="s">
        <v>309</v>
      </c>
      <c r="M225" s="15"/>
      <c r="N225" s="28"/>
      <c r="O225" s="163">
        <f t="shared" si="4"/>
        <v>2.5000000000000005E-3</v>
      </c>
    </row>
    <row r="226" spans="1:15" ht="24.75" customHeight="1">
      <c r="A226" s="28" t="s">
        <v>315</v>
      </c>
      <c r="B226" s="162" t="s">
        <v>329</v>
      </c>
      <c r="C226" s="28" t="s">
        <v>17</v>
      </c>
      <c r="D226" s="19" t="s">
        <v>18</v>
      </c>
      <c r="E226" s="29">
        <v>45786</v>
      </c>
      <c r="F226" s="29">
        <v>45836</v>
      </c>
      <c r="G226" s="19" t="s">
        <v>46</v>
      </c>
      <c r="H226" s="30">
        <v>0.1</v>
      </c>
      <c r="I226" s="31" t="s">
        <v>27</v>
      </c>
      <c r="J226" s="30">
        <v>0.05</v>
      </c>
      <c r="K226" s="28" t="s">
        <v>323</v>
      </c>
      <c r="L226" s="28" t="s">
        <v>309</v>
      </c>
      <c r="M226" s="15"/>
      <c r="N226" s="28"/>
      <c r="O226" s="163">
        <f t="shared" si="4"/>
        <v>5.000000000000001E-3</v>
      </c>
    </row>
    <row r="227" spans="1:15" ht="24.75" customHeight="1">
      <c r="A227" s="28" t="s">
        <v>315</v>
      </c>
      <c r="B227" s="162" t="s">
        <v>330</v>
      </c>
      <c r="C227" s="28" t="s">
        <v>111</v>
      </c>
      <c r="D227" s="19" t="s">
        <v>18</v>
      </c>
      <c r="E227" s="29">
        <v>45786</v>
      </c>
      <c r="F227" s="29">
        <v>45836</v>
      </c>
      <c r="G227" s="19" t="s">
        <v>46</v>
      </c>
      <c r="H227" s="30">
        <v>0.05</v>
      </c>
      <c r="I227" s="31" t="s">
        <v>27</v>
      </c>
      <c r="J227" s="30">
        <v>0.05</v>
      </c>
      <c r="K227" s="28" t="s">
        <v>323</v>
      </c>
      <c r="L227" s="28" t="s">
        <v>309</v>
      </c>
      <c r="M227" s="15"/>
      <c r="N227" s="28"/>
      <c r="O227" s="163">
        <f t="shared" si="4"/>
        <v>2.5000000000000005E-3</v>
      </c>
    </row>
    <row r="228" spans="1:15" ht="24.75" customHeight="1">
      <c r="A228" s="28" t="s">
        <v>315</v>
      </c>
      <c r="B228" s="162" t="s">
        <v>294</v>
      </c>
      <c r="C228" s="28" t="s">
        <v>44</v>
      </c>
      <c r="D228" s="19" t="s">
        <v>18</v>
      </c>
      <c r="E228" s="29">
        <v>45786</v>
      </c>
      <c r="F228" s="29">
        <v>45836</v>
      </c>
      <c r="G228" s="19" t="s">
        <v>46</v>
      </c>
      <c r="H228" s="30">
        <v>0.1</v>
      </c>
      <c r="I228" s="31" t="s">
        <v>27</v>
      </c>
      <c r="J228" s="30">
        <v>0.05</v>
      </c>
      <c r="K228" s="28" t="s">
        <v>331</v>
      </c>
      <c r="L228" s="28" t="s">
        <v>309</v>
      </c>
      <c r="M228" s="15"/>
      <c r="N228" s="28"/>
      <c r="O228" s="163">
        <f t="shared" si="4"/>
        <v>5.000000000000001E-3</v>
      </c>
    </row>
    <row r="229" spans="1:15" ht="24.75" customHeight="1">
      <c r="A229" s="28" t="s">
        <v>315</v>
      </c>
      <c r="B229" s="162" t="s">
        <v>332</v>
      </c>
      <c r="C229" s="28" t="s">
        <v>44</v>
      </c>
      <c r="D229" s="19" t="s">
        <v>18</v>
      </c>
      <c r="E229" s="29">
        <v>45786</v>
      </c>
      <c r="F229" s="29">
        <v>45836</v>
      </c>
      <c r="G229" s="19" t="s">
        <v>46</v>
      </c>
      <c r="H229" s="30">
        <v>0.15</v>
      </c>
      <c r="I229" s="31" t="s">
        <v>27</v>
      </c>
      <c r="J229" s="30">
        <v>0.05</v>
      </c>
      <c r="K229" s="28"/>
      <c r="L229" s="28" t="s">
        <v>309</v>
      </c>
      <c r="M229" s="15"/>
      <c r="N229" s="28"/>
      <c r="O229" s="163">
        <f t="shared" si="4"/>
        <v>7.4999999999999997E-3</v>
      </c>
    </row>
    <row r="230" spans="1:15" ht="24.75" customHeight="1">
      <c r="A230" s="28" t="s">
        <v>333</v>
      </c>
      <c r="B230" s="164" t="s">
        <v>334</v>
      </c>
      <c r="C230" s="164" t="s">
        <v>17</v>
      </c>
      <c r="D230" s="19" t="s">
        <v>312</v>
      </c>
      <c r="E230" s="29">
        <v>45786</v>
      </c>
      <c r="F230" s="29">
        <v>45836</v>
      </c>
      <c r="G230" s="19" t="s">
        <v>46</v>
      </c>
      <c r="H230" s="30">
        <v>0.15</v>
      </c>
      <c r="I230" s="31" t="s">
        <v>27</v>
      </c>
      <c r="J230" s="30">
        <v>0.05</v>
      </c>
      <c r="K230" s="28" t="s">
        <v>320</v>
      </c>
      <c r="L230" s="28" t="s">
        <v>309</v>
      </c>
      <c r="M230" s="15"/>
      <c r="N230" s="28"/>
      <c r="O230" s="163">
        <f>H230*J230</f>
        <v>7.4999999999999997E-3</v>
      </c>
    </row>
    <row r="231" spans="1:15" ht="24.75" customHeight="1">
      <c r="A231" s="28" t="s">
        <v>333</v>
      </c>
      <c r="B231" s="162" t="s">
        <v>335</v>
      </c>
      <c r="C231" s="164" t="s">
        <v>56</v>
      </c>
      <c r="D231" s="19" t="s">
        <v>312</v>
      </c>
      <c r="E231" s="29">
        <v>45786</v>
      </c>
      <c r="F231" s="29">
        <v>45836</v>
      </c>
      <c r="G231" s="19" t="s">
        <v>46</v>
      </c>
      <c r="H231" s="30">
        <v>0.1</v>
      </c>
      <c r="I231" s="31" t="s">
        <v>27</v>
      </c>
      <c r="J231" s="30">
        <v>0.05</v>
      </c>
      <c r="K231" s="28"/>
      <c r="L231" s="28" t="s">
        <v>309</v>
      </c>
      <c r="M231" s="15"/>
      <c r="N231" s="28"/>
      <c r="O231" s="163">
        <f t="shared" ref="O231:O238" si="5">H231*J231</f>
        <v>5.000000000000001E-3</v>
      </c>
    </row>
    <row r="232" spans="1:15" ht="24.75" customHeight="1">
      <c r="A232" s="28" t="s">
        <v>333</v>
      </c>
      <c r="B232" s="162" t="s">
        <v>336</v>
      </c>
      <c r="C232" s="164" t="s">
        <v>325</v>
      </c>
      <c r="D232" s="19" t="s">
        <v>312</v>
      </c>
      <c r="E232" s="29">
        <v>45786</v>
      </c>
      <c r="F232" s="29">
        <v>45836</v>
      </c>
      <c r="G232" s="19" t="s">
        <v>46</v>
      </c>
      <c r="H232" s="30">
        <v>0.15</v>
      </c>
      <c r="I232" s="31" t="s">
        <v>27</v>
      </c>
      <c r="J232" s="30">
        <v>0.05</v>
      </c>
      <c r="K232" s="28" t="s">
        <v>323</v>
      </c>
      <c r="L232" s="28" t="s">
        <v>309</v>
      </c>
      <c r="M232" s="15"/>
      <c r="N232" s="28"/>
      <c r="O232" s="163">
        <f t="shared" si="5"/>
        <v>7.4999999999999997E-3</v>
      </c>
    </row>
    <row r="233" spans="1:15" ht="24.75" customHeight="1">
      <c r="A233" s="28" t="s">
        <v>333</v>
      </c>
      <c r="B233" s="162" t="s">
        <v>264</v>
      </c>
      <c r="C233" s="164" t="s">
        <v>17</v>
      </c>
      <c r="D233" s="19" t="s">
        <v>312</v>
      </c>
      <c r="E233" s="29">
        <v>45786</v>
      </c>
      <c r="F233" s="29">
        <v>45836</v>
      </c>
      <c r="G233" s="19" t="s">
        <v>46</v>
      </c>
      <c r="H233" s="30">
        <v>0.1</v>
      </c>
      <c r="I233" s="31" t="s">
        <v>27</v>
      </c>
      <c r="J233" s="30">
        <v>0.05</v>
      </c>
      <c r="K233" s="28" t="s">
        <v>323</v>
      </c>
      <c r="L233" s="28" t="s">
        <v>309</v>
      </c>
      <c r="M233" s="15"/>
      <c r="N233" s="28"/>
      <c r="O233" s="163">
        <f t="shared" si="5"/>
        <v>5.000000000000001E-3</v>
      </c>
    </row>
    <row r="234" spans="1:15" ht="24.75" customHeight="1">
      <c r="A234" s="28" t="s">
        <v>333</v>
      </c>
      <c r="B234" s="162" t="s">
        <v>262</v>
      </c>
      <c r="C234" s="164" t="s">
        <v>17</v>
      </c>
      <c r="D234" s="19" t="s">
        <v>312</v>
      </c>
      <c r="E234" s="29">
        <v>45786</v>
      </c>
      <c r="F234" s="29">
        <v>45836</v>
      </c>
      <c r="G234" s="19" t="s">
        <v>46</v>
      </c>
      <c r="H234" s="30">
        <v>0.15</v>
      </c>
      <c r="I234" s="31" t="s">
        <v>27</v>
      </c>
      <c r="J234" s="30">
        <v>0.05</v>
      </c>
      <c r="K234" s="28" t="s">
        <v>323</v>
      </c>
      <c r="L234" s="28" t="s">
        <v>309</v>
      </c>
      <c r="M234" s="15"/>
      <c r="N234" s="28"/>
      <c r="O234" s="163">
        <f t="shared" si="5"/>
        <v>7.4999999999999997E-3</v>
      </c>
    </row>
    <row r="235" spans="1:15" ht="24.75" customHeight="1">
      <c r="A235" s="28" t="s">
        <v>333</v>
      </c>
      <c r="B235" s="162" t="s">
        <v>337</v>
      </c>
      <c r="C235" s="164" t="s">
        <v>56</v>
      </c>
      <c r="D235" s="19" t="s">
        <v>312</v>
      </c>
      <c r="E235" s="29">
        <v>45786</v>
      </c>
      <c r="F235" s="29">
        <v>45836</v>
      </c>
      <c r="G235" s="19" t="s">
        <v>46</v>
      </c>
      <c r="H235" s="30">
        <v>0.1</v>
      </c>
      <c r="I235" s="31" t="s">
        <v>27</v>
      </c>
      <c r="J235" s="30">
        <v>0.05</v>
      </c>
      <c r="K235" s="28"/>
      <c r="L235" s="28" t="s">
        <v>309</v>
      </c>
      <c r="M235" s="15"/>
      <c r="N235" s="28"/>
      <c r="O235" s="163">
        <f t="shared" si="5"/>
        <v>5.000000000000001E-3</v>
      </c>
    </row>
    <row r="236" spans="1:15" ht="24.75" customHeight="1">
      <c r="A236" s="28" t="s">
        <v>333</v>
      </c>
      <c r="B236" s="162" t="s">
        <v>335</v>
      </c>
      <c r="C236" s="164" t="s">
        <v>56</v>
      </c>
      <c r="D236" s="19" t="s">
        <v>312</v>
      </c>
      <c r="E236" s="29">
        <v>45786</v>
      </c>
      <c r="F236" s="29">
        <v>45836</v>
      </c>
      <c r="G236" s="19" t="s">
        <v>46</v>
      </c>
      <c r="H236" s="30">
        <v>0.1</v>
      </c>
      <c r="I236" s="31" t="s">
        <v>27</v>
      </c>
      <c r="J236" s="30">
        <v>0.05</v>
      </c>
      <c r="K236" s="28"/>
      <c r="L236" s="28" t="s">
        <v>309</v>
      </c>
      <c r="M236" s="15"/>
      <c r="N236" s="28"/>
      <c r="O236" s="163">
        <f t="shared" si="5"/>
        <v>5.000000000000001E-3</v>
      </c>
    </row>
    <row r="237" spans="1:15" ht="24.75" customHeight="1">
      <c r="A237" s="28" t="s">
        <v>333</v>
      </c>
      <c r="B237" s="162" t="s">
        <v>294</v>
      </c>
      <c r="C237" s="164" t="s">
        <v>44</v>
      </c>
      <c r="D237" s="19" t="s">
        <v>312</v>
      </c>
      <c r="E237" s="29">
        <v>45786</v>
      </c>
      <c r="F237" s="29">
        <v>45836</v>
      </c>
      <c r="G237" s="19" t="s">
        <v>46</v>
      </c>
      <c r="H237" s="30">
        <v>0.15</v>
      </c>
      <c r="I237" s="31" t="s">
        <v>27</v>
      </c>
      <c r="J237" s="30">
        <v>0.05</v>
      </c>
      <c r="K237" s="28" t="s">
        <v>331</v>
      </c>
      <c r="L237" s="28" t="s">
        <v>309</v>
      </c>
      <c r="M237" s="15"/>
      <c r="N237" s="28"/>
      <c r="O237" s="163">
        <f t="shared" si="5"/>
        <v>7.4999999999999997E-3</v>
      </c>
    </row>
    <row r="238" spans="1:15" ht="24.75" customHeight="1">
      <c r="A238" s="28" t="s">
        <v>338</v>
      </c>
      <c r="B238" s="164" t="s">
        <v>316</v>
      </c>
      <c r="C238" s="28" t="s">
        <v>111</v>
      </c>
      <c r="D238" s="164" t="s">
        <v>312</v>
      </c>
      <c r="E238" s="29">
        <v>45786</v>
      </c>
      <c r="F238" s="29">
        <v>45836</v>
      </c>
      <c r="G238" s="19" t="s">
        <v>46</v>
      </c>
      <c r="H238" s="30">
        <v>0.1</v>
      </c>
      <c r="I238" s="31" t="s">
        <v>27</v>
      </c>
      <c r="J238" s="30">
        <v>0.05</v>
      </c>
      <c r="K238" s="28" t="s">
        <v>318</v>
      </c>
      <c r="L238" s="28" t="s">
        <v>309</v>
      </c>
      <c r="M238" s="15"/>
      <c r="N238" s="28"/>
      <c r="O238" s="163">
        <f t="shared" si="5"/>
        <v>5.000000000000001E-3</v>
      </c>
    </row>
    <row r="239" spans="1:15" ht="24.75" customHeight="1">
      <c r="A239" s="28" t="s">
        <v>338</v>
      </c>
      <c r="B239" s="162" t="s">
        <v>264</v>
      </c>
      <c r="C239" s="164" t="s">
        <v>17</v>
      </c>
      <c r="D239" s="164" t="s">
        <v>312</v>
      </c>
      <c r="E239" s="29">
        <v>45786</v>
      </c>
      <c r="F239" s="29">
        <v>45836</v>
      </c>
      <c r="G239" s="19" t="s">
        <v>46</v>
      </c>
      <c r="H239" s="30">
        <v>0.05</v>
      </c>
      <c r="I239" s="31" t="s">
        <v>27</v>
      </c>
      <c r="J239" s="30">
        <v>0.05</v>
      </c>
      <c r="K239" s="28" t="s">
        <v>323</v>
      </c>
      <c r="L239" s="28" t="s">
        <v>309</v>
      </c>
      <c r="M239" s="15"/>
      <c r="N239" s="28"/>
      <c r="O239" s="163">
        <f t="shared" ref="O239:O243" si="6">H239*J239</f>
        <v>2.5000000000000005E-3</v>
      </c>
    </row>
    <row r="240" spans="1:15" ht="24.75" customHeight="1">
      <c r="A240" s="28" t="s">
        <v>338</v>
      </c>
      <c r="B240" s="162" t="s">
        <v>262</v>
      </c>
      <c r="C240" s="164" t="s">
        <v>17</v>
      </c>
      <c r="D240" s="164" t="s">
        <v>312</v>
      </c>
      <c r="E240" s="29">
        <v>45786</v>
      </c>
      <c r="F240" s="29">
        <v>45836</v>
      </c>
      <c r="G240" s="19" t="s">
        <v>46</v>
      </c>
      <c r="H240" s="30">
        <v>0.05</v>
      </c>
      <c r="I240" s="31" t="s">
        <v>27</v>
      </c>
      <c r="J240" s="30">
        <v>0.05</v>
      </c>
      <c r="K240" s="28" t="s">
        <v>323</v>
      </c>
      <c r="L240" s="28" t="s">
        <v>309</v>
      </c>
      <c r="M240" s="15"/>
      <c r="N240" s="28"/>
      <c r="O240" s="163">
        <f t="shared" si="6"/>
        <v>2.5000000000000005E-3</v>
      </c>
    </row>
    <row r="241" spans="1:15" ht="24.75" customHeight="1">
      <c r="A241" s="28" t="s">
        <v>338</v>
      </c>
      <c r="B241" s="162" t="s">
        <v>321</v>
      </c>
      <c r="C241" s="164" t="s">
        <v>44</v>
      </c>
      <c r="D241" s="164" t="s">
        <v>312</v>
      </c>
      <c r="E241" s="29">
        <v>45786</v>
      </c>
      <c r="F241" s="29">
        <v>45836</v>
      </c>
      <c r="G241" s="19" t="s">
        <v>46</v>
      </c>
      <c r="H241" s="30">
        <v>0.1</v>
      </c>
      <c r="I241" s="31" t="s">
        <v>27</v>
      </c>
      <c r="J241" s="30">
        <v>0.05</v>
      </c>
      <c r="K241" s="28" t="s">
        <v>322</v>
      </c>
      <c r="L241" s="28" t="s">
        <v>309</v>
      </c>
      <c r="M241" s="15"/>
      <c r="N241" s="28"/>
      <c r="O241" s="163">
        <f t="shared" si="6"/>
        <v>5.000000000000001E-3</v>
      </c>
    </row>
    <row r="242" spans="1:15" ht="24.75" customHeight="1">
      <c r="A242" s="28" t="s">
        <v>338</v>
      </c>
      <c r="B242" s="162" t="s">
        <v>327</v>
      </c>
      <c r="C242" s="164" t="s">
        <v>44</v>
      </c>
      <c r="D242" s="164" t="s">
        <v>312</v>
      </c>
      <c r="E242" s="29">
        <v>45786</v>
      </c>
      <c r="F242" s="29">
        <v>45836</v>
      </c>
      <c r="G242" s="19" t="s">
        <v>46</v>
      </c>
      <c r="H242" s="30">
        <v>0.1</v>
      </c>
      <c r="I242" s="31" t="s">
        <v>27</v>
      </c>
      <c r="J242" s="30">
        <v>0.05</v>
      </c>
      <c r="K242" s="28"/>
      <c r="L242" s="28" t="s">
        <v>309</v>
      </c>
      <c r="M242" s="15"/>
      <c r="N242" s="28"/>
      <c r="O242" s="163">
        <f t="shared" si="6"/>
        <v>5.000000000000001E-3</v>
      </c>
    </row>
    <row r="243" spans="1:15" ht="24.75" customHeight="1">
      <c r="A243" s="28" t="s">
        <v>338</v>
      </c>
      <c r="B243" s="162" t="s">
        <v>339</v>
      </c>
      <c r="C243" s="164" t="s">
        <v>56</v>
      </c>
      <c r="D243" s="164" t="s">
        <v>312</v>
      </c>
      <c r="E243" s="29">
        <v>45786</v>
      </c>
      <c r="F243" s="29">
        <v>45836</v>
      </c>
      <c r="G243" s="19" t="s">
        <v>46</v>
      </c>
      <c r="H243" s="30">
        <v>0.1</v>
      </c>
      <c r="I243" s="31" t="s">
        <v>27</v>
      </c>
      <c r="J243" s="30">
        <v>0.05</v>
      </c>
      <c r="K243" s="28"/>
      <c r="L243" s="28" t="s">
        <v>309</v>
      </c>
      <c r="M243" s="15"/>
      <c r="N243" s="28"/>
      <c r="O243" s="163">
        <f t="shared" si="6"/>
        <v>5.000000000000001E-3</v>
      </c>
    </row>
    <row r="244" spans="1:15" ht="24.75" customHeight="1">
      <c r="A244" s="28" t="s">
        <v>338</v>
      </c>
      <c r="B244" s="162" t="s">
        <v>340</v>
      </c>
      <c r="C244" s="164" t="s">
        <v>111</v>
      </c>
      <c r="D244" s="164" t="s">
        <v>312</v>
      </c>
      <c r="E244" s="29">
        <v>45786</v>
      </c>
      <c r="F244" s="29">
        <v>45836</v>
      </c>
      <c r="G244" s="19" t="s">
        <v>46</v>
      </c>
      <c r="H244" s="30">
        <v>0.1</v>
      </c>
      <c r="I244" s="31" t="s">
        <v>27</v>
      </c>
      <c r="J244" s="30">
        <v>0.05</v>
      </c>
      <c r="K244" s="28" t="s">
        <v>318</v>
      </c>
      <c r="L244" s="28" t="s">
        <v>309</v>
      </c>
      <c r="M244" s="15"/>
      <c r="N244" s="28"/>
      <c r="O244" s="163">
        <f t="shared" ref="O244:O247" si="7">H244*J244</f>
        <v>5.000000000000001E-3</v>
      </c>
    </row>
    <row r="245" spans="1:15" ht="24.75" customHeight="1">
      <c r="A245" s="28" t="s">
        <v>338</v>
      </c>
      <c r="B245" s="162" t="s">
        <v>326</v>
      </c>
      <c r="C245" s="164" t="s">
        <v>111</v>
      </c>
      <c r="D245" s="164" t="s">
        <v>312</v>
      </c>
      <c r="E245" s="29">
        <v>45786</v>
      </c>
      <c r="F245" s="29">
        <v>45836</v>
      </c>
      <c r="G245" s="19" t="s">
        <v>46</v>
      </c>
      <c r="H245" s="30">
        <v>0.1</v>
      </c>
      <c r="I245" s="31" t="s">
        <v>27</v>
      </c>
      <c r="J245" s="30">
        <v>0.05</v>
      </c>
      <c r="K245" s="28" t="s">
        <v>318</v>
      </c>
      <c r="L245" s="28" t="s">
        <v>309</v>
      </c>
      <c r="M245" s="15"/>
      <c r="N245" s="28"/>
      <c r="O245" s="163">
        <f t="shared" si="7"/>
        <v>5.000000000000001E-3</v>
      </c>
    </row>
    <row r="246" spans="1:15" ht="24.75" customHeight="1">
      <c r="A246" s="28" t="s">
        <v>338</v>
      </c>
      <c r="B246" s="162" t="s">
        <v>341</v>
      </c>
      <c r="C246" s="164" t="s">
        <v>17</v>
      </c>
      <c r="D246" s="164" t="s">
        <v>312</v>
      </c>
      <c r="E246" s="29">
        <v>45786</v>
      </c>
      <c r="F246" s="29">
        <v>45836</v>
      </c>
      <c r="G246" s="19" t="s">
        <v>46</v>
      </c>
      <c r="H246" s="30">
        <v>0.05</v>
      </c>
      <c r="I246" s="31" t="s">
        <v>27</v>
      </c>
      <c r="J246" s="30">
        <v>0.05</v>
      </c>
      <c r="K246" s="28" t="s">
        <v>323</v>
      </c>
      <c r="L246" s="28" t="s">
        <v>309</v>
      </c>
      <c r="M246" s="15"/>
      <c r="N246" s="28"/>
      <c r="O246" s="163">
        <f t="shared" si="7"/>
        <v>2.5000000000000005E-3</v>
      </c>
    </row>
    <row r="247" spans="1:15" ht="24.75" customHeight="1">
      <c r="A247" s="28" t="s">
        <v>338</v>
      </c>
      <c r="B247" s="162" t="s">
        <v>332</v>
      </c>
      <c r="C247" s="164" t="s">
        <v>56</v>
      </c>
      <c r="D247" s="164" t="s">
        <v>312</v>
      </c>
      <c r="E247" s="29">
        <v>45786</v>
      </c>
      <c r="F247" s="29">
        <v>45836</v>
      </c>
      <c r="G247" s="19" t="s">
        <v>46</v>
      </c>
      <c r="H247" s="30">
        <v>0.1</v>
      </c>
      <c r="I247" s="31" t="s">
        <v>27</v>
      </c>
      <c r="J247" s="30">
        <v>0.05</v>
      </c>
      <c r="K247" s="28"/>
      <c r="L247" s="28" t="s">
        <v>309</v>
      </c>
      <c r="M247" s="15"/>
      <c r="N247" s="28"/>
      <c r="O247" s="163">
        <f t="shared" si="7"/>
        <v>5.000000000000001E-3</v>
      </c>
    </row>
    <row r="248" spans="1:15" ht="24.75" customHeight="1">
      <c r="A248" s="28" t="s">
        <v>338</v>
      </c>
      <c r="B248" s="162" t="s">
        <v>336</v>
      </c>
      <c r="C248" s="164" t="s">
        <v>325</v>
      </c>
      <c r="D248" s="164" t="s">
        <v>312</v>
      </c>
      <c r="E248" s="29">
        <v>45786</v>
      </c>
      <c r="F248" s="29">
        <v>45836</v>
      </c>
      <c r="G248" s="19" t="s">
        <v>46</v>
      </c>
      <c r="H248" s="30">
        <v>0.05</v>
      </c>
      <c r="I248" s="31" t="s">
        <v>27</v>
      </c>
      <c r="J248" s="30">
        <v>0.05</v>
      </c>
      <c r="K248" s="28" t="s">
        <v>323</v>
      </c>
      <c r="L248" s="28" t="s">
        <v>309</v>
      </c>
      <c r="M248" s="15"/>
      <c r="N248" s="28"/>
      <c r="O248" s="163">
        <f>H248*J248</f>
        <v>2.5000000000000005E-3</v>
      </c>
    </row>
    <row r="249" spans="1:15" ht="24.75" customHeight="1">
      <c r="A249" s="58" t="s">
        <v>60</v>
      </c>
      <c r="B249" s="28" t="s">
        <v>342</v>
      </c>
      <c r="C249" s="28" t="s">
        <v>25</v>
      </c>
      <c r="D249" s="19" t="s">
        <v>25</v>
      </c>
      <c r="E249" s="29">
        <v>45791</v>
      </c>
      <c r="F249" s="29">
        <v>45808</v>
      </c>
      <c r="G249" s="19" t="s">
        <v>26</v>
      </c>
      <c r="H249" s="30">
        <v>0.1</v>
      </c>
      <c r="I249" s="28" t="s">
        <v>46</v>
      </c>
      <c r="J249" s="30">
        <v>1</v>
      </c>
      <c r="K249" s="28"/>
      <c r="L249" s="28"/>
      <c r="M249" s="15"/>
      <c r="N249" s="28"/>
      <c r="O249" s="59">
        <f>H249*J249</f>
        <v>0.1</v>
      </c>
    </row>
    <row r="250" spans="1:15" ht="24.75" customHeight="1">
      <c r="A250" s="40" t="s">
        <v>60</v>
      </c>
      <c r="B250" s="41" t="s">
        <v>343</v>
      </c>
      <c r="C250" s="41" t="s">
        <v>17</v>
      </c>
      <c r="D250" s="42" t="s">
        <v>17</v>
      </c>
      <c r="E250" s="43">
        <v>45791</v>
      </c>
      <c r="F250" s="43">
        <v>45808</v>
      </c>
      <c r="G250" s="19" t="s">
        <v>26</v>
      </c>
      <c r="H250" s="30">
        <v>0.1</v>
      </c>
      <c r="I250" s="28" t="s">
        <v>46</v>
      </c>
      <c r="J250" s="30">
        <v>1</v>
      </c>
      <c r="K250" s="41"/>
      <c r="L250" s="41"/>
      <c r="M250" s="45"/>
      <c r="N250" s="41"/>
      <c r="O250" s="46">
        <f>H250*J250</f>
        <v>0.1</v>
      </c>
    </row>
    <row r="251" spans="1:15" ht="24.75" customHeight="1">
      <c r="A251" s="40" t="s">
        <v>60</v>
      </c>
      <c r="B251" s="41" t="s">
        <v>344</v>
      </c>
      <c r="C251" s="41" t="s">
        <v>17</v>
      </c>
      <c r="D251" s="42" t="s">
        <v>17</v>
      </c>
      <c r="E251" s="43">
        <v>45791</v>
      </c>
      <c r="F251" s="43">
        <v>45798</v>
      </c>
      <c r="G251" s="19" t="s">
        <v>26</v>
      </c>
      <c r="H251" s="30">
        <v>0.1</v>
      </c>
      <c r="I251" s="28" t="s">
        <v>46</v>
      </c>
      <c r="J251" s="30">
        <v>1</v>
      </c>
      <c r="K251" s="41"/>
      <c r="L251" s="41"/>
      <c r="M251" s="45"/>
      <c r="N251" s="41"/>
      <c r="O251" s="46">
        <f>H251*J251</f>
        <v>0.1</v>
      </c>
    </row>
    <row r="252" spans="1:15" ht="24.75" customHeight="1">
      <c r="A252" s="58" t="s">
        <v>60</v>
      </c>
      <c r="B252" s="28" t="s">
        <v>345</v>
      </c>
      <c r="C252" s="41" t="s">
        <v>17</v>
      </c>
      <c r="D252" s="42" t="s">
        <v>17</v>
      </c>
      <c r="E252" s="29">
        <v>45791</v>
      </c>
      <c r="F252" s="29">
        <v>45821</v>
      </c>
      <c r="G252" s="19" t="s">
        <v>26</v>
      </c>
      <c r="H252" s="30">
        <v>0.1</v>
      </c>
      <c r="I252" s="28" t="s">
        <v>46</v>
      </c>
      <c r="J252" s="30">
        <v>1</v>
      </c>
      <c r="K252" s="28"/>
      <c r="L252" s="28"/>
      <c r="M252" s="15"/>
      <c r="N252" s="28"/>
      <c r="O252" s="59">
        <f t="shared" ref="O252:O254" si="8">H252*J252</f>
        <v>0.1</v>
      </c>
    </row>
    <row r="253" spans="1:15" ht="24.75" customHeight="1">
      <c r="A253" s="58" t="s">
        <v>60</v>
      </c>
      <c r="B253" s="28" t="s">
        <v>346</v>
      </c>
      <c r="C253" s="41" t="s">
        <v>111</v>
      </c>
      <c r="D253" s="42" t="s">
        <v>111</v>
      </c>
      <c r="E253" s="29">
        <v>45791</v>
      </c>
      <c r="F253" s="29">
        <v>45804</v>
      </c>
      <c r="G253" s="19" t="s">
        <v>26</v>
      </c>
      <c r="H253" s="30">
        <v>0.1</v>
      </c>
      <c r="I253" s="28" t="s">
        <v>46</v>
      </c>
      <c r="J253" s="30">
        <v>1</v>
      </c>
      <c r="K253" s="28"/>
      <c r="L253" s="28"/>
      <c r="M253" s="15"/>
      <c r="N253" s="28"/>
      <c r="O253" s="59">
        <f t="shared" si="8"/>
        <v>0.1</v>
      </c>
    </row>
    <row r="254" spans="1:15" ht="24.75" customHeight="1">
      <c r="A254" s="58" t="s">
        <v>60</v>
      </c>
      <c r="B254" s="28" t="s">
        <v>180</v>
      </c>
      <c r="C254" s="28" t="s">
        <v>44</v>
      </c>
      <c r="D254" s="28" t="s">
        <v>44</v>
      </c>
      <c r="E254" s="29">
        <v>45791</v>
      </c>
      <c r="F254" s="29">
        <v>45803</v>
      </c>
      <c r="G254" s="19" t="s">
        <v>26</v>
      </c>
      <c r="H254" s="30">
        <v>0.1</v>
      </c>
      <c r="I254" s="28" t="s">
        <v>46</v>
      </c>
      <c r="J254" s="30">
        <v>1</v>
      </c>
      <c r="K254" s="28"/>
      <c r="L254" s="28"/>
      <c r="M254" s="15"/>
      <c r="N254" s="28"/>
      <c r="O254" s="59">
        <f t="shared" si="8"/>
        <v>0.1</v>
      </c>
    </row>
    <row r="255" spans="1:15" ht="24.75" customHeight="1">
      <c r="A255" s="58" t="s">
        <v>60</v>
      </c>
      <c r="B255" s="28" t="s">
        <v>294</v>
      </c>
      <c r="C255" s="28" t="s">
        <v>44</v>
      </c>
      <c r="D255" s="28" t="s">
        <v>44</v>
      </c>
      <c r="E255" s="29">
        <v>45791</v>
      </c>
      <c r="F255" s="29">
        <v>45808</v>
      </c>
      <c r="G255" s="19" t="s">
        <v>26</v>
      </c>
      <c r="H255" s="30">
        <v>0.1</v>
      </c>
      <c r="I255" s="28" t="s">
        <v>46</v>
      </c>
      <c r="J255" s="30">
        <v>1</v>
      </c>
      <c r="K255" s="28"/>
      <c r="L255" s="28"/>
      <c r="M255" s="15"/>
      <c r="N255" s="28"/>
      <c r="O255" s="59">
        <f>H255*J255</f>
        <v>0.1</v>
      </c>
    </row>
    <row r="256" spans="1:15" ht="24.75" customHeight="1">
      <c r="A256" s="58" t="s">
        <v>60</v>
      </c>
      <c r="B256" s="28" t="s">
        <v>347</v>
      </c>
      <c r="C256" s="28" t="s">
        <v>44</v>
      </c>
      <c r="D256" s="28" t="s">
        <v>44</v>
      </c>
      <c r="E256" s="29">
        <v>45791</v>
      </c>
      <c r="F256" s="29">
        <v>45853</v>
      </c>
      <c r="G256" s="19" t="s">
        <v>26</v>
      </c>
      <c r="H256" s="30">
        <v>0.1</v>
      </c>
      <c r="I256" s="28" t="s">
        <v>46</v>
      </c>
      <c r="J256" s="30">
        <v>1</v>
      </c>
      <c r="K256" s="28"/>
      <c r="L256" s="28"/>
      <c r="M256" s="15"/>
      <c r="N256" s="28"/>
      <c r="O256" s="59">
        <f>H256*J256</f>
        <v>0.1</v>
      </c>
    </row>
    <row r="257" spans="1:15" ht="24.75" customHeight="1">
      <c r="A257" s="58" t="s">
        <v>60</v>
      </c>
      <c r="B257" s="28" t="s">
        <v>130</v>
      </c>
      <c r="C257" s="28" t="s">
        <v>17</v>
      </c>
      <c r="D257" s="28" t="s">
        <v>348</v>
      </c>
      <c r="E257" s="29">
        <v>45791</v>
      </c>
      <c r="F257" s="29">
        <v>45806</v>
      </c>
      <c r="G257" s="19" t="s">
        <v>349</v>
      </c>
      <c r="H257" s="30">
        <v>0.05</v>
      </c>
      <c r="I257" s="28" t="s">
        <v>46</v>
      </c>
      <c r="J257" s="30">
        <v>1</v>
      </c>
      <c r="K257" s="28"/>
      <c r="L257" s="28"/>
      <c r="M257" s="15"/>
      <c r="N257" s="28"/>
      <c r="O257" s="59">
        <f>H257*J257</f>
        <v>0.05</v>
      </c>
    </row>
    <row r="258" spans="1:15" ht="24.75" customHeight="1">
      <c r="A258" s="58" t="s">
        <v>60</v>
      </c>
      <c r="B258" s="28" t="s">
        <v>350</v>
      </c>
      <c r="C258" s="28" t="s">
        <v>17</v>
      </c>
      <c r="D258" s="28" t="s">
        <v>17</v>
      </c>
      <c r="E258" s="29">
        <v>45791</v>
      </c>
      <c r="F258" s="29">
        <v>45798</v>
      </c>
      <c r="G258" s="19" t="s">
        <v>26</v>
      </c>
      <c r="H258" s="30">
        <v>0.05</v>
      </c>
      <c r="I258" s="28" t="s">
        <v>46</v>
      </c>
      <c r="J258" s="30">
        <v>1</v>
      </c>
      <c r="K258" s="28"/>
      <c r="L258" s="28"/>
      <c r="M258" s="15"/>
      <c r="N258" s="28"/>
      <c r="O258" s="59">
        <f>H258*J258</f>
        <v>0.05</v>
      </c>
    </row>
    <row r="259" spans="1:15" ht="24.75" customHeight="1">
      <c r="A259" s="40" t="s">
        <v>284</v>
      </c>
      <c r="B259" s="41" t="s">
        <v>351</v>
      </c>
      <c r="C259" s="41" t="s">
        <v>111</v>
      </c>
      <c r="D259" s="42" t="s">
        <v>54</v>
      </c>
      <c r="E259" s="43">
        <v>45797</v>
      </c>
      <c r="F259" s="43">
        <v>45798</v>
      </c>
      <c r="G259" s="42" t="s">
        <v>19</v>
      </c>
      <c r="H259" s="44">
        <v>0.1</v>
      </c>
      <c r="I259" s="41" t="s">
        <v>20</v>
      </c>
      <c r="J259" s="44">
        <v>1</v>
      </c>
      <c r="K259" s="41"/>
      <c r="L259" s="41"/>
      <c r="M259" s="45"/>
      <c r="N259" s="41"/>
      <c r="O259" s="46">
        <f>H259*J259</f>
        <v>0.1</v>
      </c>
    </row>
    <row r="260" spans="1:15" ht="24.75" customHeight="1">
      <c r="A260" s="40" t="s">
        <v>352</v>
      </c>
      <c r="B260" s="41" t="s">
        <v>262</v>
      </c>
      <c r="C260" s="41" t="s">
        <v>17</v>
      </c>
      <c r="D260" s="42" t="s">
        <v>312</v>
      </c>
      <c r="E260" s="43">
        <v>45833</v>
      </c>
      <c r="F260" s="43">
        <v>45869</v>
      </c>
      <c r="G260" s="19" t="s">
        <v>26</v>
      </c>
      <c r="H260" s="44">
        <v>0.2</v>
      </c>
      <c r="I260" s="31" t="s">
        <v>27</v>
      </c>
      <c r="J260" s="44">
        <v>0.01</v>
      </c>
      <c r="K260" s="41" t="s">
        <v>353</v>
      </c>
      <c r="L260" s="41" t="s">
        <v>312</v>
      </c>
      <c r="M260" s="45" t="s">
        <v>26</v>
      </c>
      <c r="N260" s="41"/>
      <c r="O260" s="46">
        <f>H260*J260</f>
        <v>2E-3</v>
      </c>
    </row>
    <row r="261" spans="1:15" ht="24.75" customHeight="1">
      <c r="A261" s="40" t="s">
        <v>352</v>
      </c>
      <c r="B261" s="41" t="s">
        <v>354</v>
      </c>
      <c r="C261" s="41" t="s">
        <v>325</v>
      </c>
      <c r="D261" s="42" t="s">
        <v>312</v>
      </c>
      <c r="E261" s="43">
        <v>45833</v>
      </c>
      <c r="F261" s="43">
        <v>45869</v>
      </c>
      <c r="G261" s="19" t="s">
        <v>26</v>
      </c>
      <c r="H261" s="44">
        <v>0.2</v>
      </c>
      <c r="I261" s="31" t="s">
        <v>27</v>
      </c>
      <c r="J261" s="44">
        <v>0.01</v>
      </c>
      <c r="K261" s="41"/>
      <c r="L261" s="41"/>
      <c r="M261" s="45"/>
      <c r="N261" s="41"/>
      <c r="O261" s="46">
        <f>H261*J261</f>
        <v>2E-3</v>
      </c>
    </row>
    <row r="262" spans="1:15" ht="24.75" customHeight="1">
      <c r="A262" s="40" t="s">
        <v>352</v>
      </c>
      <c r="B262" s="41" t="s">
        <v>330</v>
      </c>
      <c r="C262" s="41" t="s">
        <v>111</v>
      </c>
      <c r="D262" s="42" t="s">
        <v>312</v>
      </c>
      <c r="E262" s="43">
        <v>45833</v>
      </c>
      <c r="F262" s="43">
        <v>45869</v>
      </c>
      <c r="G262" s="19" t="s">
        <v>26</v>
      </c>
      <c r="H262" s="44">
        <v>0.2</v>
      </c>
      <c r="I262" s="31" t="s">
        <v>27</v>
      </c>
      <c r="J262" s="44">
        <v>0.01</v>
      </c>
      <c r="K262" s="41" t="s">
        <v>353</v>
      </c>
      <c r="L262" s="41" t="s">
        <v>312</v>
      </c>
      <c r="M262" s="45" t="s">
        <v>26</v>
      </c>
      <c r="N262" s="41"/>
      <c r="O262" s="46">
        <f>H262*J262</f>
        <v>2E-3</v>
      </c>
    </row>
    <row r="263" spans="1:15" ht="24.75" customHeight="1">
      <c r="A263" s="40" t="s">
        <v>352</v>
      </c>
      <c r="B263" s="41" t="s">
        <v>316</v>
      </c>
      <c r="C263" s="41" t="s">
        <v>317</v>
      </c>
      <c r="D263" s="42" t="s">
        <v>312</v>
      </c>
      <c r="E263" s="43">
        <v>45833</v>
      </c>
      <c r="F263" s="43">
        <v>45869</v>
      </c>
      <c r="G263" s="19" t="s">
        <v>26</v>
      </c>
      <c r="H263" s="44">
        <v>0.2</v>
      </c>
      <c r="I263" s="31" t="s">
        <v>27</v>
      </c>
      <c r="J263" s="44">
        <v>0.01</v>
      </c>
      <c r="K263" s="41" t="s">
        <v>353</v>
      </c>
      <c r="L263" s="41" t="s">
        <v>312</v>
      </c>
      <c r="M263" s="45" t="s">
        <v>26</v>
      </c>
      <c r="N263" s="41"/>
      <c r="O263" s="46">
        <f>H263*J263</f>
        <v>2E-3</v>
      </c>
    </row>
    <row r="264" spans="1:15" ht="24.75" customHeight="1">
      <c r="A264" s="40" t="s">
        <v>352</v>
      </c>
      <c r="B264" s="41" t="s">
        <v>355</v>
      </c>
      <c r="C264" s="41" t="s">
        <v>44</v>
      </c>
      <c r="D264" s="42" t="s">
        <v>312</v>
      </c>
      <c r="E264" s="43">
        <v>45833</v>
      </c>
      <c r="F264" s="43">
        <v>45869</v>
      </c>
      <c r="G264" s="19" t="s">
        <v>26</v>
      </c>
      <c r="H264" s="44">
        <v>0.2</v>
      </c>
      <c r="I264" s="31" t="s">
        <v>27</v>
      </c>
      <c r="J264" s="44">
        <v>0.01</v>
      </c>
      <c r="K264" s="41" t="s">
        <v>353</v>
      </c>
      <c r="L264" s="41" t="s">
        <v>312</v>
      </c>
      <c r="M264" s="45" t="s">
        <v>26</v>
      </c>
      <c r="N264" s="41"/>
      <c r="O264" s="46">
        <f>H264*J264</f>
        <v>2E-3</v>
      </c>
    </row>
    <row r="265" spans="1:15" ht="24.75" customHeight="1">
      <c r="A265" s="40" t="s">
        <v>356</v>
      </c>
      <c r="B265" s="41" t="s">
        <v>311</v>
      </c>
      <c r="C265" s="41" t="s">
        <v>64</v>
      </c>
      <c r="D265" s="42" t="s">
        <v>312</v>
      </c>
      <c r="E265" s="43">
        <v>45723</v>
      </c>
      <c r="F265" s="43">
        <v>45755</v>
      </c>
      <c r="G265" s="42" t="s">
        <v>19</v>
      </c>
      <c r="H265" s="44">
        <v>1</v>
      </c>
      <c r="I265" s="31" t="s">
        <v>46</v>
      </c>
      <c r="J265" s="44">
        <v>0.5</v>
      </c>
      <c r="K265" s="41"/>
      <c r="L265" s="41"/>
      <c r="M265" s="45"/>
      <c r="N265" s="41"/>
      <c r="O265" s="46">
        <f>H265*J265</f>
        <v>0.5</v>
      </c>
    </row>
    <row r="266" spans="1:15" ht="24.75" customHeight="1">
      <c r="A266" s="40" t="s">
        <v>357</v>
      </c>
      <c r="B266" s="41" t="s">
        <v>358</v>
      </c>
      <c r="C266" s="41" t="s">
        <v>25</v>
      </c>
      <c r="D266" s="42" t="s">
        <v>54</v>
      </c>
      <c r="E266" s="43">
        <v>45833</v>
      </c>
      <c r="F266" s="43">
        <v>45878</v>
      </c>
      <c r="G266" s="19" t="s">
        <v>26</v>
      </c>
      <c r="H266" s="44">
        <v>0.5</v>
      </c>
      <c r="I266" s="31" t="s">
        <v>27</v>
      </c>
      <c r="J266" s="44">
        <v>0.1</v>
      </c>
      <c r="K266" s="41" t="s">
        <v>359</v>
      </c>
      <c r="L266" s="41" t="s">
        <v>25</v>
      </c>
      <c r="M266" s="45" t="s">
        <v>26</v>
      </c>
      <c r="N266" s="41"/>
      <c r="O266" s="46">
        <f>H266*J266</f>
        <v>0.05</v>
      </c>
    </row>
    <row r="267" spans="1:15" ht="24.75" customHeight="1">
      <c r="A267" s="40" t="s">
        <v>357</v>
      </c>
      <c r="B267" s="28" t="s">
        <v>360</v>
      </c>
      <c r="C267" s="28" t="s">
        <v>25</v>
      </c>
      <c r="D267" s="42" t="s">
        <v>54</v>
      </c>
      <c r="E267" s="29">
        <v>45833</v>
      </c>
      <c r="F267" s="43">
        <v>45879</v>
      </c>
      <c r="G267" s="19" t="s">
        <v>26</v>
      </c>
      <c r="H267" s="44">
        <v>0.5</v>
      </c>
      <c r="I267" s="31" t="s">
        <v>27</v>
      </c>
      <c r="J267" s="44">
        <v>0.01</v>
      </c>
      <c r="K267" s="28" t="s">
        <v>361</v>
      </c>
      <c r="L267" s="41" t="s">
        <v>25</v>
      </c>
      <c r="M267" s="45" t="s">
        <v>26</v>
      </c>
      <c r="N267" s="28"/>
      <c r="O267" s="59">
        <f>H267*J267</f>
        <v>5.0000000000000001E-3</v>
      </c>
    </row>
    <row r="268" spans="1:15" ht="24.75" customHeight="1">
      <c r="A268" s="58" t="s">
        <v>338</v>
      </c>
      <c r="B268" s="28" t="s">
        <v>362</v>
      </c>
      <c r="C268" s="28" t="s">
        <v>363</v>
      </c>
      <c r="D268" s="164" t="s">
        <v>312</v>
      </c>
      <c r="E268" s="29">
        <v>45833</v>
      </c>
      <c r="F268" s="29">
        <v>45850</v>
      </c>
      <c r="G268" s="19" t="s">
        <v>46</v>
      </c>
      <c r="H268" s="30">
        <v>0.05</v>
      </c>
      <c r="I268" s="31" t="s">
        <v>27</v>
      </c>
      <c r="J268" s="30">
        <v>0.05</v>
      </c>
      <c r="K268" s="28"/>
      <c r="L268" s="28"/>
      <c r="M268" s="15"/>
      <c r="N268" s="28"/>
      <c r="O268" s="59">
        <f t="shared" ref="O268:O269" si="9">H268*J268</f>
        <v>2.5000000000000005E-3</v>
      </c>
    </row>
    <row r="269" spans="1:15" ht="24.75" customHeight="1">
      <c r="A269" s="58" t="s">
        <v>338</v>
      </c>
      <c r="B269" s="28" t="s">
        <v>364</v>
      </c>
      <c r="C269" s="28" t="s">
        <v>25</v>
      </c>
      <c r="D269" s="164" t="s">
        <v>312</v>
      </c>
      <c r="E269" s="29">
        <v>45833</v>
      </c>
      <c r="F269" s="29">
        <v>45850</v>
      </c>
      <c r="G269" s="19" t="s">
        <v>46</v>
      </c>
      <c r="H269" s="30">
        <v>0.05</v>
      </c>
      <c r="I269" s="31" t="s">
        <v>27</v>
      </c>
      <c r="J269" s="30">
        <v>0.05</v>
      </c>
      <c r="K269" s="28"/>
      <c r="L269" s="28"/>
      <c r="M269" s="15"/>
      <c r="N269" s="28"/>
      <c r="O269" s="59">
        <f t="shared" si="9"/>
        <v>2.5000000000000005E-3</v>
      </c>
    </row>
    <row r="270" spans="1:15" ht="24.75" customHeight="1">
      <c r="A270" s="40" t="s">
        <v>365</v>
      </c>
      <c r="B270" s="118" t="s">
        <v>345</v>
      </c>
      <c r="C270" s="41" t="s">
        <v>17</v>
      </c>
      <c r="D270" s="164" t="s">
        <v>312</v>
      </c>
      <c r="E270" s="43">
        <v>45810</v>
      </c>
      <c r="F270" s="43">
        <v>45845</v>
      </c>
      <c r="G270" s="42" t="s">
        <v>19</v>
      </c>
      <c r="H270" s="44">
        <v>0.1</v>
      </c>
      <c r="I270" s="41" t="s">
        <v>84</v>
      </c>
      <c r="J270" s="44">
        <v>1</v>
      </c>
      <c r="K270" s="41"/>
      <c r="L270" s="41"/>
      <c r="M270" s="45"/>
      <c r="N270" s="41"/>
      <c r="O270" s="46">
        <f>H270*J270</f>
        <v>0.1</v>
      </c>
    </row>
    <row r="271" spans="1:15" ht="24.75" customHeight="1">
      <c r="A271" s="40" t="s">
        <v>365</v>
      </c>
      <c r="B271" s="28" t="s">
        <v>264</v>
      </c>
      <c r="C271" s="28" t="s">
        <v>325</v>
      </c>
      <c r="D271" s="164" t="s">
        <v>312</v>
      </c>
      <c r="E271" s="43">
        <v>45810</v>
      </c>
      <c r="F271" s="43">
        <v>45845</v>
      </c>
      <c r="G271" s="42" t="s">
        <v>19</v>
      </c>
      <c r="H271" s="44">
        <v>0.1</v>
      </c>
      <c r="I271" s="28" t="s">
        <v>84</v>
      </c>
      <c r="J271" s="44">
        <v>1</v>
      </c>
      <c r="K271" s="28"/>
      <c r="L271" s="28"/>
      <c r="M271" s="15"/>
      <c r="N271" s="28"/>
      <c r="O271" s="59">
        <f t="shared" ref="O271:O274" si="10">H271*J271</f>
        <v>0.1</v>
      </c>
    </row>
    <row r="272" spans="1:15" ht="24.75" customHeight="1">
      <c r="A272" s="40" t="s">
        <v>365</v>
      </c>
      <c r="B272" s="28" t="s">
        <v>262</v>
      </c>
      <c r="C272" s="28" t="s">
        <v>325</v>
      </c>
      <c r="D272" s="164" t="s">
        <v>312</v>
      </c>
      <c r="E272" s="43">
        <v>45810</v>
      </c>
      <c r="F272" s="43">
        <v>45845</v>
      </c>
      <c r="G272" s="42" t="s">
        <v>19</v>
      </c>
      <c r="H272" s="44">
        <v>0.1</v>
      </c>
      <c r="I272" s="28" t="s">
        <v>84</v>
      </c>
      <c r="J272" s="44">
        <v>1</v>
      </c>
      <c r="K272" s="28"/>
      <c r="L272" s="28"/>
      <c r="M272" s="15"/>
      <c r="N272" s="28"/>
      <c r="O272" s="59">
        <f t="shared" si="10"/>
        <v>0.1</v>
      </c>
    </row>
    <row r="273" spans="1:15" ht="24.75" customHeight="1">
      <c r="A273" s="40" t="s">
        <v>365</v>
      </c>
      <c r="B273" s="28" t="s">
        <v>366</v>
      </c>
      <c r="C273" s="28" t="s">
        <v>111</v>
      </c>
      <c r="D273" s="164" t="s">
        <v>312</v>
      </c>
      <c r="E273" s="43">
        <v>45810</v>
      </c>
      <c r="F273" s="43">
        <v>45845</v>
      </c>
      <c r="G273" s="42" t="s">
        <v>19</v>
      </c>
      <c r="H273" s="44">
        <v>0.2</v>
      </c>
      <c r="I273" s="28" t="s">
        <v>84</v>
      </c>
      <c r="J273" s="44">
        <v>1</v>
      </c>
      <c r="K273" s="28"/>
      <c r="L273" s="28"/>
      <c r="M273" s="15"/>
      <c r="N273" s="28"/>
      <c r="O273" s="59">
        <f t="shared" si="10"/>
        <v>0.2</v>
      </c>
    </row>
    <row r="274" spans="1:15" ht="24.75" customHeight="1">
      <c r="A274" s="40" t="s">
        <v>365</v>
      </c>
      <c r="B274" s="41" t="s">
        <v>367</v>
      </c>
      <c r="C274" s="41" t="s">
        <v>363</v>
      </c>
      <c r="D274" s="164" t="s">
        <v>312</v>
      </c>
      <c r="E274" s="43">
        <v>45810</v>
      </c>
      <c r="F274" s="43">
        <v>45845</v>
      </c>
      <c r="G274" s="19" t="s">
        <v>46</v>
      </c>
      <c r="H274" s="44">
        <v>0.1</v>
      </c>
      <c r="I274" s="41" t="s">
        <v>368</v>
      </c>
      <c r="J274" s="44">
        <v>0.8</v>
      </c>
      <c r="K274" s="41"/>
      <c r="L274" s="41"/>
      <c r="M274" s="45"/>
      <c r="N274" s="41"/>
      <c r="O274" s="46">
        <f t="shared" si="10"/>
        <v>8.0000000000000016E-2</v>
      </c>
    </row>
    <row r="275" spans="1:15" ht="24.75" customHeight="1">
      <c r="A275" s="58" t="s">
        <v>365</v>
      </c>
      <c r="B275" s="28" t="s">
        <v>369</v>
      </c>
      <c r="C275" s="28" t="s">
        <v>56</v>
      </c>
      <c r="D275" s="164" t="s">
        <v>312</v>
      </c>
      <c r="E275" s="43">
        <v>45810</v>
      </c>
      <c r="F275" s="43">
        <v>45845</v>
      </c>
      <c r="G275" s="19" t="s">
        <v>46</v>
      </c>
      <c r="H275" s="44">
        <v>0.2</v>
      </c>
      <c r="I275" s="28" t="s">
        <v>368</v>
      </c>
      <c r="J275" s="30">
        <v>0.05</v>
      </c>
      <c r="K275" s="28"/>
      <c r="L275" s="28"/>
      <c r="M275" s="15"/>
      <c r="N275" s="28"/>
      <c r="O275" s="59">
        <f>H275*J275</f>
        <v>1.0000000000000002E-2</v>
      </c>
    </row>
    <row r="276" spans="1:15" ht="24.75" customHeight="1">
      <c r="A276" s="58" t="s">
        <v>365</v>
      </c>
      <c r="B276" s="28" t="s">
        <v>370</v>
      </c>
      <c r="C276" s="28" t="s">
        <v>317</v>
      </c>
      <c r="D276" s="164" t="s">
        <v>312</v>
      </c>
      <c r="E276" s="43">
        <v>45810</v>
      </c>
      <c r="F276" s="43">
        <v>45845</v>
      </c>
      <c r="G276" s="19" t="s">
        <v>46</v>
      </c>
      <c r="H276" s="44">
        <v>0.1</v>
      </c>
      <c r="I276" s="28" t="s">
        <v>368</v>
      </c>
      <c r="J276" s="30">
        <v>0.05</v>
      </c>
      <c r="K276" s="28"/>
      <c r="L276" s="28"/>
      <c r="M276" s="15"/>
      <c r="N276" s="28"/>
      <c r="O276" s="59">
        <f>H276*J276</f>
        <v>5.000000000000001E-3</v>
      </c>
    </row>
    <row r="277" spans="1:15" ht="24.75" customHeight="1">
      <c r="A277" s="58" t="s">
        <v>365</v>
      </c>
      <c r="B277" s="28" t="s">
        <v>294</v>
      </c>
      <c r="C277" s="28" t="s">
        <v>44</v>
      </c>
      <c r="D277" s="164" t="s">
        <v>312</v>
      </c>
      <c r="E277" s="43">
        <v>45810</v>
      </c>
      <c r="F277" s="43">
        <v>45841</v>
      </c>
      <c r="G277" s="19" t="s">
        <v>46</v>
      </c>
      <c r="H277" s="30">
        <v>0.1</v>
      </c>
      <c r="I277" s="28" t="s">
        <v>368</v>
      </c>
      <c r="J277" s="30">
        <v>0.3</v>
      </c>
      <c r="K277" s="28"/>
      <c r="L277" s="28"/>
      <c r="M277" s="15"/>
      <c r="N277" s="28"/>
      <c r="O277" s="59">
        <f>H277*J277</f>
        <v>0.03</v>
      </c>
    </row>
  </sheetData>
  <protectedRanges>
    <protectedRange sqref="H1:H20 H48:H169 H171:H1048576" name="Range1"/>
    <protectedRange sqref="H120 H126 H1:H20 H48:H73" name="Range2"/>
  </protectedRanges>
  <phoneticPr fontId="8"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E6269-5954-4611-8108-8F33DC747FCF}">
  <dimension ref="A1:H30"/>
  <sheetViews>
    <sheetView topLeftCell="A10" workbookViewId="0">
      <selection activeCell="H17" sqref="H17"/>
    </sheetView>
  </sheetViews>
  <sheetFormatPr defaultRowHeight="15"/>
  <cols>
    <col min="2" max="2" width="54.5703125" bestFit="1" customWidth="1"/>
    <col min="3" max="3" width="21.140625" customWidth="1"/>
    <col min="4" max="4" width="18" customWidth="1"/>
    <col min="5" max="5" width="24.42578125" style="173" customWidth="1"/>
    <col min="6" max="6" width="20.85546875" customWidth="1"/>
    <col min="7" max="7" width="21.28515625" customWidth="1"/>
    <col min="8" max="8" width="26.28515625" customWidth="1"/>
  </cols>
  <sheetData>
    <row r="1" spans="1:8" ht="15.75">
      <c r="A1" s="122" t="s">
        <v>0</v>
      </c>
      <c r="B1" s="123" t="s">
        <v>371</v>
      </c>
      <c r="C1" s="123" t="s">
        <v>38</v>
      </c>
      <c r="D1" s="123" t="s">
        <v>372</v>
      </c>
      <c r="E1" s="169" t="s">
        <v>373</v>
      </c>
      <c r="F1" s="124" t="s">
        <v>374</v>
      </c>
      <c r="G1" s="122" t="s">
        <v>375</v>
      </c>
      <c r="H1" s="122" t="s">
        <v>376</v>
      </c>
    </row>
    <row r="2" spans="1:8" ht="15.75">
      <c r="A2" s="1" t="s">
        <v>15</v>
      </c>
      <c r="B2" s="5" t="s">
        <v>377</v>
      </c>
      <c r="C2" s="1" t="s">
        <v>378</v>
      </c>
      <c r="D2" s="14">
        <v>45537</v>
      </c>
      <c r="E2" s="170">
        <v>45611</v>
      </c>
      <c r="F2" s="6" t="s">
        <v>379</v>
      </c>
      <c r="G2" s="1" t="s">
        <v>380</v>
      </c>
      <c r="H2" s="1"/>
    </row>
    <row r="3" spans="1:8" ht="15.75">
      <c r="A3" s="1" t="s">
        <v>122</v>
      </c>
      <c r="B3" s="7" t="s">
        <v>381</v>
      </c>
      <c r="C3" s="1" t="s">
        <v>382</v>
      </c>
      <c r="D3" s="14">
        <v>45537</v>
      </c>
      <c r="E3" s="170">
        <v>45596</v>
      </c>
      <c r="F3" s="6" t="s">
        <v>20</v>
      </c>
      <c r="G3" s="1" t="s">
        <v>380</v>
      </c>
      <c r="H3" s="1"/>
    </row>
    <row r="4" spans="1:8" ht="22.5" customHeight="1">
      <c r="A4" s="1" t="s">
        <v>139</v>
      </c>
      <c r="B4" s="8" t="s">
        <v>383</v>
      </c>
      <c r="C4" s="1" t="s">
        <v>384</v>
      </c>
      <c r="D4" s="14">
        <v>45537</v>
      </c>
      <c r="E4" s="171">
        <v>45746</v>
      </c>
      <c r="F4" s="6" t="s">
        <v>20</v>
      </c>
      <c r="G4" s="1" t="s">
        <v>380</v>
      </c>
      <c r="H4" s="1"/>
    </row>
    <row r="5" spans="1:8" ht="15.75">
      <c r="A5" s="1" t="s">
        <v>147</v>
      </c>
      <c r="B5" s="5" t="s">
        <v>385</v>
      </c>
      <c r="C5" s="1" t="s">
        <v>386</v>
      </c>
      <c r="D5" s="14">
        <v>45537</v>
      </c>
      <c r="E5" s="172">
        <v>45746</v>
      </c>
      <c r="F5" s="6" t="s">
        <v>46</v>
      </c>
      <c r="G5" s="1" t="s">
        <v>387</v>
      </c>
      <c r="H5" s="1"/>
    </row>
    <row r="6" spans="1:8" ht="15.75">
      <c r="A6" s="1" t="s">
        <v>161</v>
      </c>
      <c r="B6" s="9" t="s">
        <v>388</v>
      </c>
      <c r="C6" s="1" t="s">
        <v>389</v>
      </c>
      <c r="D6" s="14">
        <v>45537</v>
      </c>
      <c r="E6" s="170">
        <v>45757</v>
      </c>
      <c r="F6" s="6" t="s">
        <v>20</v>
      </c>
      <c r="G6" s="1" t="s">
        <v>380</v>
      </c>
      <c r="H6" s="1">
        <v>1</v>
      </c>
    </row>
    <row r="7" spans="1:8" ht="15.75">
      <c r="A7" s="1" t="s">
        <v>182</v>
      </c>
      <c r="B7" s="9" t="s">
        <v>390</v>
      </c>
      <c r="C7" s="1" t="s">
        <v>384</v>
      </c>
      <c r="D7" s="14">
        <v>45537</v>
      </c>
      <c r="E7" s="172">
        <v>45766</v>
      </c>
      <c r="F7" s="6" t="s">
        <v>20</v>
      </c>
      <c r="G7" s="1" t="s">
        <v>380</v>
      </c>
      <c r="H7" s="1"/>
    </row>
    <row r="8" spans="1:8" ht="15.75">
      <c r="A8" s="1" t="s">
        <v>202</v>
      </c>
      <c r="B8" s="9" t="s">
        <v>391</v>
      </c>
      <c r="C8" s="1" t="s">
        <v>392</v>
      </c>
      <c r="D8" s="14">
        <v>45537</v>
      </c>
      <c r="E8" s="168">
        <v>45623</v>
      </c>
      <c r="F8" s="6" t="s">
        <v>20</v>
      </c>
      <c r="G8" s="1" t="s">
        <v>380</v>
      </c>
      <c r="H8" s="1"/>
    </row>
    <row r="9" spans="1:8" ht="15.75">
      <c r="A9" s="1" t="s">
        <v>214</v>
      </c>
      <c r="B9" s="9" t="s">
        <v>393</v>
      </c>
      <c r="C9" s="1" t="s">
        <v>394</v>
      </c>
      <c r="D9" s="117">
        <v>45474</v>
      </c>
      <c r="E9" s="168">
        <v>45746</v>
      </c>
      <c r="F9" s="6" t="s">
        <v>20</v>
      </c>
      <c r="G9" s="1" t="s">
        <v>380</v>
      </c>
      <c r="H9" s="1"/>
    </row>
    <row r="10" spans="1:8">
      <c r="A10" s="1" t="s">
        <v>237</v>
      </c>
      <c r="B10" s="1" t="s">
        <v>395</v>
      </c>
      <c r="C10" s="1" t="s">
        <v>396</v>
      </c>
      <c r="D10" s="117">
        <v>45579</v>
      </c>
      <c r="E10" s="168">
        <v>45777</v>
      </c>
      <c r="F10" s="6" t="s">
        <v>46</v>
      </c>
      <c r="G10" s="1" t="s">
        <v>380</v>
      </c>
      <c r="H10" s="1"/>
    </row>
    <row r="11" spans="1:8">
      <c r="A11" s="1" t="s">
        <v>52</v>
      </c>
      <c r="B11" s="1" t="s">
        <v>397</v>
      </c>
      <c r="C11" s="1" t="s">
        <v>398</v>
      </c>
      <c r="D11" s="117">
        <v>45579</v>
      </c>
      <c r="E11" s="168">
        <v>45777</v>
      </c>
      <c r="F11" s="6" t="s">
        <v>20</v>
      </c>
      <c r="G11" s="1" t="s">
        <v>399</v>
      </c>
      <c r="H11" s="1"/>
    </row>
    <row r="12" spans="1:8">
      <c r="A12" s="1" t="s">
        <v>62</v>
      </c>
      <c r="B12" s="1" t="s">
        <v>400</v>
      </c>
      <c r="C12" s="1" t="s">
        <v>401</v>
      </c>
      <c r="D12" s="117">
        <v>45575</v>
      </c>
      <c r="E12" s="168">
        <v>45688</v>
      </c>
      <c r="F12" s="1" t="s">
        <v>46</v>
      </c>
      <c r="G12" s="1" t="s">
        <v>399</v>
      </c>
      <c r="H12" s="1"/>
    </row>
    <row r="13" spans="1:8">
      <c r="A13" s="1" t="s">
        <v>60</v>
      </c>
      <c r="B13" s="1" t="s">
        <v>402</v>
      </c>
      <c r="C13" s="1" t="s">
        <v>401</v>
      </c>
      <c r="D13" s="117">
        <v>45575</v>
      </c>
      <c r="E13" s="168">
        <v>45688</v>
      </c>
      <c r="F13" s="1" t="s">
        <v>46</v>
      </c>
      <c r="G13" s="1" t="s">
        <v>399</v>
      </c>
      <c r="H13" s="1"/>
    </row>
    <row r="14" spans="1:8">
      <c r="A14" s="1" t="s">
        <v>93</v>
      </c>
      <c r="B14" s="1" t="s">
        <v>403</v>
      </c>
      <c r="C14" s="1" t="s">
        <v>396</v>
      </c>
      <c r="D14" s="168">
        <v>45609</v>
      </c>
      <c r="E14" s="168">
        <v>45777</v>
      </c>
      <c r="F14" s="6" t="s">
        <v>20</v>
      </c>
      <c r="G14" s="1" t="s">
        <v>399</v>
      </c>
      <c r="H14" s="1"/>
    </row>
    <row r="15" spans="1:8">
      <c r="A15" s="1" t="s">
        <v>107</v>
      </c>
      <c r="B15" s="1" t="s">
        <v>404</v>
      </c>
      <c r="C15" s="1" t="s">
        <v>405</v>
      </c>
      <c r="D15" s="168">
        <v>45609</v>
      </c>
      <c r="E15" s="168">
        <v>45746</v>
      </c>
      <c r="F15" s="6" t="s">
        <v>20</v>
      </c>
      <c r="G15" s="1" t="s">
        <v>380</v>
      </c>
      <c r="H15" s="1"/>
    </row>
    <row r="16" spans="1:8">
      <c r="A16" s="1" t="s">
        <v>113</v>
      </c>
      <c r="B16" s="1" t="s">
        <v>406</v>
      </c>
      <c r="C16" s="1" t="s">
        <v>407</v>
      </c>
      <c r="D16" s="168">
        <v>45607</v>
      </c>
      <c r="E16" s="168">
        <v>45626</v>
      </c>
      <c r="F16" s="6" t="s">
        <v>20</v>
      </c>
      <c r="G16" s="1" t="s">
        <v>380</v>
      </c>
      <c r="H16" s="1">
        <v>1</v>
      </c>
    </row>
    <row r="17" spans="1:8">
      <c r="A17" s="1" t="s">
        <v>118</v>
      </c>
      <c r="B17" s="1" t="s">
        <v>408</v>
      </c>
      <c r="C17" s="1" t="s">
        <v>394</v>
      </c>
      <c r="D17" s="168">
        <v>45628</v>
      </c>
      <c r="E17" s="168">
        <v>45746</v>
      </c>
      <c r="F17" s="6" t="s">
        <v>20</v>
      </c>
      <c r="G17" s="1" t="s">
        <v>380</v>
      </c>
      <c r="H17" s="1"/>
    </row>
    <row r="18" spans="1:8">
      <c r="A18" s="1" t="s">
        <v>261</v>
      </c>
      <c r="B18" s="1" t="s">
        <v>409</v>
      </c>
      <c r="C18" s="1" t="s">
        <v>410</v>
      </c>
      <c r="D18" s="168">
        <v>45652</v>
      </c>
      <c r="E18" s="168">
        <v>45777</v>
      </c>
      <c r="F18" s="6" t="s">
        <v>20</v>
      </c>
      <c r="G18" s="1" t="s">
        <v>399</v>
      </c>
      <c r="H18" s="1"/>
    </row>
    <row r="19" spans="1:8">
      <c r="A19" s="1" t="s">
        <v>284</v>
      </c>
      <c r="B19" s="1" t="s">
        <v>411</v>
      </c>
      <c r="C19" s="1" t="s">
        <v>398</v>
      </c>
      <c r="D19" s="168">
        <v>45693</v>
      </c>
      <c r="E19" s="168">
        <v>45777</v>
      </c>
      <c r="F19" s="6" t="s">
        <v>20</v>
      </c>
      <c r="G19" s="1" t="s">
        <v>399</v>
      </c>
      <c r="H19" s="1"/>
    </row>
    <row r="20" spans="1:8">
      <c r="A20" s="1" t="s">
        <v>301</v>
      </c>
      <c r="B20" s="1" t="s">
        <v>412</v>
      </c>
      <c r="C20" s="1" t="s">
        <v>394</v>
      </c>
      <c r="D20" s="168">
        <v>45722</v>
      </c>
      <c r="E20" s="168">
        <v>45777</v>
      </c>
      <c r="F20" s="1" t="s">
        <v>46</v>
      </c>
      <c r="G20" s="1" t="s">
        <v>399</v>
      </c>
      <c r="H20" s="1">
        <v>1</v>
      </c>
    </row>
    <row r="21" spans="1:8" ht="16.5">
      <c r="A21" s="1" t="s">
        <v>306</v>
      </c>
      <c r="B21" s="8" t="s">
        <v>413</v>
      </c>
      <c r="C21" s="1" t="s">
        <v>382</v>
      </c>
      <c r="D21" s="168">
        <v>45723</v>
      </c>
      <c r="E21" s="168">
        <v>45762</v>
      </c>
      <c r="F21" s="6" t="s">
        <v>20</v>
      </c>
      <c r="G21" s="1" t="s">
        <v>380</v>
      </c>
      <c r="H21" s="1"/>
    </row>
    <row r="22" spans="1:8">
      <c r="A22" s="1" t="s">
        <v>310</v>
      </c>
      <c r="B22" s="1" t="s">
        <v>255</v>
      </c>
      <c r="C22" s="1" t="s">
        <v>414</v>
      </c>
      <c r="D22" s="168">
        <v>45723</v>
      </c>
      <c r="E22" s="168">
        <v>45755</v>
      </c>
      <c r="F22" s="6" t="s">
        <v>20</v>
      </c>
      <c r="G22" s="1" t="s">
        <v>380</v>
      </c>
      <c r="H22" s="1"/>
    </row>
    <row r="23" spans="1:8">
      <c r="A23" s="1" t="s">
        <v>313</v>
      </c>
      <c r="B23" s="1" t="s">
        <v>415</v>
      </c>
      <c r="C23" s="1" t="s">
        <v>416</v>
      </c>
      <c r="D23" s="168">
        <v>45776</v>
      </c>
      <c r="E23" s="168">
        <v>45808</v>
      </c>
      <c r="F23" s="1" t="s">
        <v>46</v>
      </c>
      <c r="G23" s="1" t="s">
        <v>387</v>
      </c>
      <c r="H23" s="1"/>
    </row>
    <row r="24" spans="1:8">
      <c r="A24" s="1" t="s">
        <v>315</v>
      </c>
      <c r="B24" s="1" t="s">
        <v>417</v>
      </c>
      <c r="C24" s="1" t="s">
        <v>418</v>
      </c>
      <c r="D24" s="168">
        <v>45786</v>
      </c>
      <c r="E24" s="168">
        <v>45836</v>
      </c>
      <c r="F24" s="1" t="s">
        <v>46</v>
      </c>
      <c r="G24" s="1" t="s">
        <v>387</v>
      </c>
      <c r="H24" s="1"/>
    </row>
    <row r="25" spans="1:8">
      <c r="A25" s="1" t="s">
        <v>333</v>
      </c>
      <c r="B25" s="1" t="s">
        <v>419</v>
      </c>
      <c r="C25" s="1" t="s">
        <v>418</v>
      </c>
      <c r="D25" s="168">
        <v>45786</v>
      </c>
      <c r="E25" s="168">
        <v>45836</v>
      </c>
      <c r="F25" s="1" t="s">
        <v>46</v>
      </c>
      <c r="G25" s="1" t="s">
        <v>387</v>
      </c>
      <c r="H25" s="1"/>
    </row>
    <row r="26" spans="1:8">
      <c r="A26" s="1" t="s">
        <v>338</v>
      </c>
      <c r="B26" s="1" t="s">
        <v>420</v>
      </c>
      <c r="C26" s="1" t="s">
        <v>418</v>
      </c>
      <c r="D26" s="168">
        <v>45786</v>
      </c>
      <c r="E26" s="168">
        <v>45836</v>
      </c>
      <c r="F26" s="1" t="s">
        <v>46</v>
      </c>
      <c r="G26" s="1" t="s">
        <v>387</v>
      </c>
      <c r="H26" s="1"/>
    </row>
    <row r="27" spans="1:8">
      <c r="A27" s="1" t="s">
        <v>365</v>
      </c>
      <c r="B27" s="1" t="s">
        <v>421</v>
      </c>
      <c r="C27" s="1" t="s">
        <v>422</v>
      </c>
      <c r="D27" s="168">
        <v>45791</v>
      </c>
      <c r="E27" s="168">
        <v>45829</v>
      </c>
      <c r="F27" s="1" t="s">
        <v>46</v>
      </c>
      <c r="G27" s="1" t="s">
        <v>387</v>
      </c>
      <c r="H27" s="1"/>
    </row>
    <row r="28" spans="1:8">
      <c r="A28" s="1" t="s">
        <v>352</v>
      </c>
      <c r="B28" s="1" t="s">
        <v>423</v>
      </c>
      <c r="C28" s="1" t="s">
        <v>424</v>
      </c>
      <c r="D28" s="168">
        <v>45824</v>
      </c>
      <c r="E28" s="168">
        <v>45899</v>
      </c>
      <c r="F28" s="1" t="s">
        <v>27</v>
      </c>
      <c r="G28" s="1" t="s">
        <v>387</v>
      </c>
      <c r="H28" s="1"/>
    </row>
    <row r="29" spans="1:8">
      <c r="A29" s="1" t="s">
        <v>356</v>
      </c>
      <c r="B29" s="1" t="s">
        <v>425</v>
      </c>
      <c r="C29" s="1" t="s">
        <v>414</v>
      </c>
      <c r="D29" s="168">
        <v>45831</v>
      </c>
      <c r="E29" s="168">
        <v>45873</v>
      </c>
      <c r="F29" s="1" t="s">
        <v>27</v>
      </c>
      <c r="G29" s="1" t="s">
        <v>399</v>
      </c>
      <c r="H29" s="1"/>
    </row>
    <row r="30" spans="1:8">
      <c r="A30" s="1" t="s">
        <v>357</v>
      </c>
      <c r="B30" s="1" t="s">
        <v>426</v>
      </c>
      <c r="C30" s="1" t="s">
        <v>427</v>
      </c>
      <c r="D30" s="168">
        <v>45831</v>
      </c>
      <c r="E30" s="168">
        <v>45894</v>
      </c>
      <c r="F30" s="1" t="s">
        <v>27</v>
      </c>
      <c r="G30" s="1" t="s">
        <v>387</v>
      </c>
      <c r="H3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tabSelected="1" workbookViewId="0">
      <selection activeCell="B14" sqref="B14"/>
    </sheetView>
  </sheetViews>
  <sheetFormatPr defaultRowHeight="15"/>
  <cols>
    <col min="1" max="1" width="8.42578125" bestFit="1" customWidth="1"/>
    <col min="2" max="2" width="54.140625" bestFit="1" customWidth="1"/>
    <col min="3" max="3" width="19.85546875" bestFit="1" customWidth="1"/>
    <col min="4" max="4" width="11.5703125" bestFit="1" customWidth="1"/>
    <col min="5" max="5" width="12.140625" bestFit="1" customWidth="1"/>
    <col min="6" max="6" width="13.42578125" bestFit="1" customWidth="1"/>
    <col min="7" max="7" width="16" bestFit="1" customWidth="1"/>
  </cols>
  <sheetData>
    <row r="1" spans="1:7" ht="15.75">
      <c r="A1" s="2" t="s">
        <v>0</v>
      </c>
      <c r="B1" s="3" t="s">
        <v>371</v>
      </c>
      <c r="C1" s="3" t="s">
        <v>38</v>
      </c>
      <c r="D1" s="3" t="s">
        <v>372</v>
      </c>
      <c r="E1" s="4" t="s">
        <v>373</v>
      </c>
      <c r="F1" s="4" t="s">
        <v>374</v>
      </c>
      <c r="G1" s="2" t="s">
        <v>375</v>
      </c>
    </row>
    <row r="2" spans="1:7" ht="15.75">
      <c r="A2" s="1" t="s">
        <v>15</v>
      </c>
      <c r="B2" s="5" t="s">
        <v>377</v>
      </c>
      <c r="C2" s="1" t="s">
        <v>378</v>
      </c>
      <c r="D2" s="14">
        <v>45537</v>
      </c>
      <c r="E2" s="10">
        <v>45611</v>
      </c>
      <c r="F2" s="6" t="s">
        <v>379</v>
      </c>
      <c r="G2" s="1" t="s">
        <v>387</v>
      </c>
    </row>
    <row r="3" spans="1:7" ht="15.75">
      <c r="A3" s="1" t="s">
        <v>122</v>
      </c>
      <c r="B3" s="7" t="s">
        <v>381</v>
      </c>
      <c r="C3" s="1" t="s">
        <v>382</v>
      </c>
      <c r="D3" s="14">
        <v>45537</v>
      </c>
      <c r="E3" s="10">
        <v>45596</v>
      </c>
      <c r="F3" s="6" t="s">
        <v>46</v>
      </c>
      <c r="G3" s="1" t="s">
        <v>380</v>
      </c>
    </row>
    <row r="4" spans="1:7" ht="16.5">
      <c r="A4" s="1" t="s">
        <v>139</v>
      </c>
      <c r="B4" s="8" t="s">
        <v>383</v>
      </c>
      <c r="C4" s="1" t="s">
        <v>384</v>
      </c>
      <c r="D4" s="14">
        <v>45537</v>
      </c>
      <c r="E4" s="98">
        <v>45651</v>
      </c>
      <c r="F4" s="6" t="s">
        <v>46</v>
      </c>
      <c r="G4" s="1" t="s">
        <v>399</v>
      </c>
    </row>
    <row r="5" spans="1:7" ht="15.75">
      <c r="A5" s="1" t="s">
        <v>147</v>
      </c>
      <c r="B5" s="5" t="s">
        <v>385</v>
      </c>
      <c r="C5" s="1" t="s">
        <v>386</v>
      </c>
      <c r="D5" s="14">
        <v>45537</v>
      </c>
      <c r="E5" s="11">
        <v>45633</v>
      </c>
      <c r="F5" s="6" t="s">
        <v>428</v>
      </c>
      <c r="G5" s="1" t="s">
        <v>387</v>
      </c>
    </row>
    <row r="6" spans="1:7" ht="15.75">
      <c r="A6" s="1" t="s">
        <v>161</v>
      </c>
      <c r="B6" s="9" t="s">
        <v>388</v>
      </c>
      <c r="C6" s="1" t="s">
        <v>389</v>
      </c>
      <c r="D6" s="14">
        <v>45537</v>
      </c>
      <c r="E6" s="10">
        <v>45626</v>
      </c>
      <c r="F6" s="6" t="s">
        <v>46</v>
      </c>
      <c r="G6" s="1" t="s">
        <v>380</v>
      </c>
    </row>
    <row r="7" spans="1:7" ht="15.75">
      <c r="A7" s="1" t="s">
        <v>182</v>
      </c>
      <c r="B7" s="9" t="s">
        <v>390</v>
      </c>
      <c r="C7" s="1" t="s">
        <v>384</v>
      </c>
      <c r="D7" s="14">
        <v>45537</v>
      </c>
      <c r="E7" s="11">
        <v>45626</v>
      </c>
      <c r="F7" s="6" t="s">
        <v>46</v>
      </c>
      <c r="G7" s="1" t="s">
        <v>399</v>
      </c>
    </row>
    <row r="8" spans="1:7" ht="15.75">
      <c r="A8" s="1" t="s">
        <v>202</v>
      </c>
      <c r="B8" s="9" t="s">
        <v>391</v>
      </c>
      <c r="C8" s="1" t="s">
        <v>392</v>
      </c>
      <c r="D8" s="14">
        <v>45537</v>
      </c>
      <c r="E8" s="12">
        <v>45623</v>
      </c>
      <c r="F8" s="6" t="s">
        <v>46</v>
      </c>
      <c r="G8" s="1" t="s">
        <v>380</v>
      </c>
    </row>
    <row r="9" spans="1:7" ht="15.75">
      <c r="A9" s="1" t="s">
        <v>214</v>
      </c>
      <c r="B9" s="9" t="s">
        <v>393</v>
      </c>
      <c r="C9" s="1" t="s">
        <v>394</v>
      </c>
      <c r="D9" s="13">
        <v>45474</v>
      </c>
      <c r="E9" s="13">
        <v>45596</v>
      </c>
      <c r="F9" s="6" t="s">
        <v>46</v>
      </c>
      <c r="G9" s="1" t="s">
        <v>380</v>
      </c>
    </row>
    <row r="10" spans="1:7">
      <c r="A10" s="1" t="s">
        <v>237</v>
      </c>
      <c r="B10" s="1" t="s">
        <v>395</v>
      </c>
      <c r="C10" s="1" t="s">
        <v>396</v>
      </c>
      <c r="D10" s="13">
        <v>45579</v>
      </c>
      <c r="E10" s="13">
        <v>45664</v>
      </c>
      <c r="F10" s="1" t="s">
        <v>429</v>
      </c>
      <c r="G10" s="1" t="s">
        <v>387</v>
      </c>
    </row>
    <row r="11" spans="1:7">
      <c r="A11" s="1" t="s">
        <v>52</v>
      </c>
      <c r="B11" s="1" t="s">
        <v>397</v>
      </c>
      <c r="C11" s="1" t="s">
        <v>398</v>
      </c>
      <c r="D11" s="13">
        <v>45579</v>
      </c>
      <c r="E11" s="13">
        <v>45667</v>
      </c>
      <c r="F11" s="1" t="s">
        <v>429</v>
      </c>
      <c r="G11" s="1" t="s">
        <v>387</v>
      </c>
    </row>
    <row r="12" spans="1:7">
      <c r="A12" s="1" t="s">
        <v>62</v>
      </c>
      <c r="B12" s="1" t="s">
        <v>400</v>
      </c>
      <c r="C12" s="1" t="s">
        <v>401</v>
      </c>
      <c r="D12" s="13">
        <v>45575</v>
      </c>
      <c r="E12" s="27">
        <v>45688</v>
      </c>
      <c r="F12" s="1" t="s">
        <v>46</v>
      </c>
      <c r="G12" s="1" t="s">
        <v>387</v>
      </c>
    </row>
    <row r="13" spans="1:7">
      <c r="A13" s="1" t="s">
        <v>60</v>
      </c>
      <c r="B13" s="1" t="s">
        <v>402</v>
      </c>
      <c r="C13" s="1" t="s">
        <v>401</v>
      </c>
      <c r="D13" s="13">
        <v>45575</v>
      </c>
      <c r="E13" s="27">
        <v>45688</v>
      </c>
      <c r="F13" s="1" t="s">
        <v>46</v>
      </c>
      <c r="G13" s="1" t="s">
        <v>387</v>
      </c>
    </row>
    <row r="14" spans="1:7">
      <c r="A14" s="1" t="s">
        <v>93</v>
      </c>
      <c r="B14" s="1" t="s">
        <v>430</v>
      </c>
      <c r="C14" s="1" t="s">
        <v>396</v>
      </c>
      <c r="D14" s="51">
        <v>45609</v>
      </c>
      <c r="E14" s="51">
        <v>45642</v>
      </c>
      <c r="F14" s="1" t="s">
        <v>429</v>
      </c>
      <c r="G14" s="1" t="s">
        <v>387</v>
      </c>
    </row>
    <row r="15" spans="1:7">
      <c r="A15" s="1" t="s">
        <v>107</v>
      </c>
      <c r="B15" s="1" t="s">
        <v>404</v>
      </c>
      <c r="C15" s="1" t="s">
        <v>405</v>
      </c>
      <c r="D15" s="51">
        <v>45609</v>
      </c>
      <c r="E15" s="51">
        <v>45646</v>
      </c>
      <c r="F15" s="1" t="s">
        <v>429</v>
      </c>
      <c r="G15" s="1" t="s">
        <v>387</v>
      </c>
    </row>
    <row r="16" spans="1:7">
      <c r="A16" s="1" t="s">
        <v>113</v>
      </c>
      <c r="B16" s="1" t="s">
        <v>406</v>
      </c>
      <c r="C16" s="1" t="s">
        <v>407</v>
      </c>
      <c r="D16" s="51">
        <v>45607</v>
      </c>
      <c r="E16" s="51">
        <v>45626</v>
      </c>
      <c r="F16" s="6" t="s">
        <v>46</v>
      </c>
      <c r="G16" s="1" t="s">
        <v>387</v>
      </c>
    </row>
    <row r="17" spans="1:7">
      <c r="A17" s="1" t="s">
        <v>118</v>
      </c>
      <c r="B17" s="1" t="s">
        <v>431</v>
      </c>
      <c r="C17" s="1" t="s">
        <v>394</v>
      </c>
      <c r="D17" s="51">
        <v>45630</v>
      </c>
      <c r="E17" s="51">
        <v>45646</v>
      </c>
      <c r="F17" s="1" t="s">
        <v>429</v>
      </c>
      <c r="G17" s="1" t="s">
        <v>387</v>
      </c>
    </row>
    <row r="22" spans="1:7" ht="17.25" customHeight="1"/>
  </sheetData>
  <autoFilter ref="A1:G17"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1EBF-68B9-41F4-BC5D-39E4DA3278F7}">
  <dimension ref="A1:H5"/>
  <sheetViews>
    <sheetView workbookViewId="0"/>
  </sheetViews>
  <sheetFormatPr defaultRowHeight="15"/>
  <cols>
    <col min="2" max="2" width="39.85546875" customWidth="1"/>
    <col min="3" max="3" width="14.5703125" customWidth="1"/>
    <col min="4" max="4" width="46.140625" customWidth="1"/>
    <col min="5" max="5" width="27.42578125" customWidth="1"/>
    <col min="6" max="6" width="24.5703125" customWidth="1"/>
    <col min="7" max="7" width="22.7109375" customWidth="1"/>
    <col min="8" max="8" width="13.42578125" customWidth="1"/>
  </cols>
  <sheetData>
    <row r="1" spans="1:8">
      <c r="A1" s="161" t="s">
        <v>0</v>
      </c>
      <c r="B1" s="161" t="s">
        <v>371</v>
      </c>
      <c r="C1" s="161" t="s">
        <v>2</v>
      </c>
      <c r="D1" s="161" t="s">
        <v>1</v>
      </c>
      <c r="E1" s="161" t="s">
        <v>432</v>
      </c>
      <c r="F1" s="161" t="s">
        <v>433</v>
      </c>
      <c r="G1" s="161" t="s">
        <v>434</v>
      </c>
      <c r="H1" s="161" t="s">
        <v>435</v>
      </c>
    </row>
    <row r="2" spans="1:8" ht="167.25">
      <c r="A2" s="1" t="s">
        <v>93</v>
      </c>
      <c r="B2" s="1" t="s">
        <v>403</v>
      </c>
      <c r="C2" s="1" t="s">
        <v>56</v>
      </c>
      <c r="D2" s="1" t="s">
        <v>436</v>
      </c>
      <c r="E2" s="165" t="s">
        <v>437</v>
      </c>
      <c r="F2" s="165" t="s">
        <v>438</v>
      </c>
      <c r="G2" s="1" t="s">
        <v>439</v>
      </c>
      <c r="H2" s="1" t="s">
        <v>440</v>
      </c>
    </row>
    <row r="3" spans="1:8">
      <c r="A3" s="1"/>
      <c r="B3" s="1"/>
      <c r="C3" s="1"/>
      <c r="D3" s="1"/>
      <c r="E3" s="1"/>
      <c r="F3" s="1"/>
      <c r="G3" s="1"/>
      <c r="H3" s="1"/>
    </row>
    <row r="4" spans="1:8" ht="15.75">
      <c r="A4" s="1"/>
      <c r="B4" s="7"/>
      <c r="C4" s="1"/>
      <c r="D4" s="1"/>
      <c r="E4" s="1"/>
      <c r="F4" s="1"/>
      <c r="G4" s="1"/>
      <c r="H4" s="1"/>
    </row>
    <row r="5" spans="1:8" ht="15.75">
      <c r="B5" s="160"/>
      <c r="D5" s="15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CE48-7D55-44D1-9BF9-006322B92F09}">
  <dimension ref="A1:D1156"/>
  <sheetViews>
    <sheetView topLeftCell="A81" workbookViewId="0">
      <selection activeCell="L2" sqref="L2"/>
    </sheetView>
  </sheetViews>
  <sheetFormatPr defaultRowHeight="15"/>
  <cols>
    <col min="1" max="1" width="7.85546875" customWidth="1"/>
    <col min="2" max="2" width="14.140625" customWidth="1"/>
    <col min="3" max="3" width="14" customWidth="1"/>
    <col min="4" max="4" width="13.7109375" customWidth="1"/>
  </cols>
  <sheetData>
    <row r="1" spans="1:4">
      <c r="A1" s="47" t="s">
        <v>441</v>
      </c>
      <c r="B1" s="48" t="s">
        <v>442</v>
      </c>
      <c r="C1" s="48" t="s">
        <v>443</v>
      </c>
      <c r="D1" s="49" t="s">
        <v>444</v>
      </c>
    </row>
    <row r="2" spans="1:4">
      <c r="A2" s="50">
        <f>IF(B2="","",ROW(A1))</f>
        <v>1</v>
      </c>
      <c r="B2" s="51">
        <v>45572</v>
      </c>
      <c r="C2" s="1" t="s">
        <v>26</v>
      </c>
      <c r="D2" s="52">
        <v>56</v>
      </c>
    </row>
    <row r="3" spans="1:4">
      <c r="A3" s="50">
        <f>IF(B3="","",ROW(A2))</f>
        <v>2</v>
      </c>
      <c r="B3" s="51">
        <v>45572</v>
      </c>
      <c r="C3" s="1" t="s">
        <v>23</v>
      </c>
      <c r="D3" s="52">
        <v>16</v>
      </c>
    </row>
    <row r="4" spans="1:4">
      <c r="A4" s="53">
        <f>IF(B4="","",ROW(A3))</f>
        <v>3</v>
      </c>
      <c r="B4" s="54">
        <v>45572</v>
      </c>
      <c r="C4" s="55" t="s">
        <v>45</v>
      </c>
      <c r="D4" s="56">
        <v>3</v>
      </c>
    </row>
    <row r="5" spans="1:4">
      <c r="A5" s="50">
        <v>4</v>
      </c>
      <c r="B5" s="51">
        <v>45573</v>
      </c>
      <c r="C5" s="1" t="s">
        <v>26</v>
      </c>
      <c r="D5" s="52">
        <v>56</v>
      </c>
    </row>
    <row r="6" spans="1:4">
      <c r="A6" s="50">
        <f>IF(B6="","",ROW(A5))</f>
        <v>5</v>
      </c>
      <c r="B6" s="51">
        <v>45573</v>
      </c>
      <c r="C6" s="1" t="s">
        <v>45</v>
      </c>
      <c r="D6" s="52">
        <v>3</v>
      </c>
    </row>
    <row r="7" spans="1:4">
      <c r="A7" s="53">
        <f>IF(B7="","",ROW(A6))</f>
        <v>6</v>
      </c>
      <c r="B7" s="54">
        <v>45573</v>
      </c>
      <c r="C7" s="55" t="s">
        <v>23</v>
      </c>
      <c r="D7" s="56">
        <v>16</v>
      </c>
    </row>
    <row r="8" spans="1:4">
      <c r="A8" s="50">
        <f>IF(B8="","",ROW(A7))</f>
        <v>7</v>
      </c>
      <c r="B8" s="51">
        <v>45573</v>
      </c>
      <c r="C8" s="1" t="s">
        <v>45</v>
      </c>
      <c r="D8" s="52">
        <v>3</v>
      </c>
    </row>
    <row r="9" spans="1:4">
      <c r="A9" s="50">
        <f>IF(B9="","",ROW(A8))</f>
        <v>8</v>
      </c>
      <c r="B9" s="51">
        <v>45573</v>
      </c>
      <c r="C9" s="1" t="s">
        <v>26</v>
      </c>
      <c r="D9" s="52">
        <v>54</v>
      </c>
    </row>
    <row r="10" spans="1:4">
      <c r="A10" s="53">
        <f>IF(B10="","",ROW(A9))</f>
        <v>9</v>
      </c>
      <c r="B10" s="54">
        <v>45573</v>
      </c>
      <c r="C10" s="55" t="s">
        <v>23</v>
      </c>
      <c r="D10" s="56">
        <v>18</v>
      </c>
    </row>
    <row r="11" spans="1:4">
      <c r="A11" s="50">
        <f t="shared" ref="A11:A25" si="0">IF(B11="","",ROW(A10))</f>
        <v>10</v>
      </c>
      <c r="B11" s="51">
        <v>45574</v>
      </c>
      <c r="C11" s="1" t="s">
        <v>23</v>
      </c>
      <c r="D11" s="52">
        <v>16</v>
      </c>
    </row>
    <row r="12" spans="1:4">
      <c r="A12" s="50">
        <f t="shared" si="0"/>
        <v>11</v>
      </c>
      <c r="B12" s="51">
        <v>45574</v>
      </c>
      <c r="C12" s="1" t="s">
        <v>45</v>
      </c>
      <c r="D12" s="52">
        <v>3</v>
      </c>
    </row>
    <row r="13" spans="1:4">
      <c r="A13" s="53">
        <f t="shared" si="0"/>
        <v>12</v>
      </c>
      <c r="B13" s="54">
        <v>45574</v>
      </c>
      <c r="C13" s="55" t="s">
        <v>26</v>
      </c>
      <c r="D13" s="56">
        <v>56</v>
      </c>
    </row>
    <row r="14" spans="1:4">
      <c r="A14" s="50">
        <f t="shared" si="0"/>
        <v>13</v>
      </c>
      <c r="B14" s="51">
        <v>45575</v>
      </c>
      <c r="C14" s="1" t="s">
        <v>45</v>
      </c>
      <c r="D14" s="52">
        <v>3</v>
      </c>
    </row>
    <row r="15" spans="1:4">
      <c r="A15" s="50">
        <f t="shared" si="0"/>
        <v>14</v>
      </c>
      <c r="B15" s="51">
        <v>45575</v>
      </c>
      <c r="C15" s="1" t="s">
        <v>23</v>
      </c>
      <c r="D15" s="52">
        <v>16</v>
      </c>
    </row>
    <row r="16" spans="1:4">
      <c r="A16" s="53">
        <f t="shared" si="0"/>
        <v>15</v>
      </c>
      <c r="B16" s="54">
        <v>45575</v>
      </c>
      <c r="C16" s="55" t="s">
        <v>26</v>
      </c>
      <c r="D16" s="56">
        <v>57</v>
      </c>
    </row>
    <row r="17" spans="1:4">
      <c r="A17" s="50">
        <f t="shared" si="0"/>
        <v>16</v>
      </c>
      <c r="B17" s="51">
        <v>45576</v>
      </c>
      <c r="C17" s="1" t="s">
        <v>23</v>
      </c>
      <c r="D17" s="52">
        <v>16</v>
      </c>
    </row>
    <row r="18" spans="1:4">
      <c r="A18" s="50">
        <f t="shared" si="0"/>
        <v>17</v>
      </c>
      <c r="B18" s="51">
        <v>45576</v>
      </c>
      <c r="C18" s="1" t="s">
        <v>45</v>
      </c>
      <c r="D18" s="52">
        <v>3</v>
      </c>
    </row>
    <row r="19" spans="1:4">
      <c r="A19" s="53">
        <f t="shared" si="0"/>
        <v>18</v>
      </c>
      <c r="B19" s="54">
        <v>45576</v>
      </c>
      <c r="C19" s="55" t="s">
        <v>26</v>
      </c>
      <c r="D19" s="56">
        <v>57</v>
      </c>
    </row>
    <row r="20" spans="1:4">
      <c r="A20" s="50">
        <f t="shared" si="0"/>
        <v>19</v>
      </c>
      <c r="B20" s="51">
        <v>45577</v>
      </c>
      <c r="C20" s="1" t="s">
        <v>23</v>
      </c>
      <c r="D20" s="52">
        <v>16</v>
      </c>
    </row>
    <row r="21" spans="1:4">
      <c r="A21" s="50">
        <f t="shared" si="0"/>
        <v>20</v>
      </c>
      <c r="B21" s="51">
        <v>45577</v>
      </c>
      <c r="C21" s="1" t="s">
        <v>45</v>
      </c>
      <c r="D21" s="52">
        <v>3</v>
      </c>
    </row>
    <row r="22" spans="1:4">
      <c r="A22" s="53">
        <f t="shared" si="0"/>
        <v>21</v>
      </c>
      <c r="B22" s="54">
        <v>45577</v>
      </c>
      <c r="C22" s="55" t="s">
        <v>26</v>
      </c>
      <c r="D22" s="56">
        <v>57</v>
      </c>
    </row>
    <row r="23" spans="1:4">
      <c r="A23" s="50">
        <f t="shared" si="0"/>
        <v>22</v>
      </c>
      <c r="B23" s="51">
        <v>45578</v>
      </c>
      <c r="C23" s="1" t="s">
        <v>26</v>
      </c>
      <c r="D23" s="52">
        <v>57</v>
      </c>
    </row>
    <row r="24" spans="1:4">
      <c r="A24" s="50">
        <f t="shared" si="0"/>
        <v>23</v>
      </c>
      <c r="B24" s="51">
        <v>45578</v>
      </c>
      <c r="C24" s="1" t="s">
        <v>45</v>
      </c>
      <c r="D24" s="52">
        <v>3</v>
      </c>
    </row>
    <row r="25" spans="1:4">
      <c r="A25" s="53">
        <f t="shared" si="0"/>
        <v>24</v>
      </c>
      <c r="B25" s="54">
        <v>45578</v>
      </c>
      <c r="C25" s="55" t="s">
        <v>23</v>
      </c>
      <c r="D25" s="56">
        <v>16</v>
      </c>
    </row>
    <row r="26" spans="1:4">
      <c r="A26" s="50">
        <f>IF(B26="","",ROW(A25))</f>
        <v>25</v>
      </c>
      <c r="B26" s="51">
        <v>45579</v>
      </c>
      <c r="C26" s="1" t="s">
        <v>23</v>
      </c>
      <c r="D26" s="52">
        <v>16</v>
      </c>
    </row>
    <row r="27" spans="1:4">
      <c r="A27" s="50">
        <f>IF(B27="","",ROW(A26))</f>
        <v>26</v>
      </c>
      <c r="B27" s="51">
        <v>45579</v>
      </c>
      <c r="C27" s="1" t="s">
        <v>45</v>
      </c>
      <c r="D27" s="52">
        <v>3</v>
      </c>
    </row>
    <row r="28" spans="1:4">
      <c r="A28" s="53">
        <f>IF(B28="","",ROW(A27))</f>
        <v>27</v>
      </c>
      <c r="B28" s="54">
        <v>45579</v>
      </c>
      <c r="C28" s="55" t="s">
        <v>26</v>
      </c>
      <c r="D28" s="56">
        <v>57</v>
      </c>
    </row>
    <row r="29" spans="1:4">
      <c r="A29" s="50">
        <f t="shared" ref="A29:A61" si="1">IF(B29="","",ROW(A28))</f>
        <v>28</v>
      </c>
      <c r="B29" s="51">
        <v>45580</v>
      </c>
      <c r="C29" s="1" t="s">
        <v>26</v>
      </c>
      <c r="D29" s="52">
        <v>56</v>
      </c>
    </row>
    <row r="30" spans="1:4">
      <c r="A30" s="50">
        <f t="shared" si="1"/>
        <v>29</v>
      </c>
      <c r="B30" s="51">
        <v>45580</v>
      </c>
      <c r="C30" s="1" t="s">
        <v>45</v>
      </c>
      <c r="D30" s="52">
        <v>2</v>
      </c>
    </row>
    <row r="31" spans="1:4">
      <c r="A31" s="53">
        <f t="shared" si="1"/>
        <v>30</v>
      </c>
      <c r="B31" s="54">
        <v>45580</v>
      </c>
      <c r="C31" s="55" t="s">
        <v>23</v>
      </c>
      <c r="D31" s="56">
        <v>18</v>
      </c>
    </row>
    <row r="32" spans="1:4">
      <c r="A32" s="50">
        <f t="shared" si="1"/>
        <v>31</v>
      </c>
      <c r="B32" s="51">
        <v>45581</v>
      </c>
      <c r="C32" s="1" t="s">
        <v>45</v>
      </c>
      <c r="D32" s="52">
        <v>2</v>
      </c>
    </row>
    <row r="33" spans="1:4">
      <c r="A33" s="50">
        <f t="shared" si="1"/>
        <v>32</v>
      </c>
      <c r="B33" s="51">
        <v>45581</v>
      </c>
      <c r="C33" s="1" t="s">
        <v>23</v>
      </c>
      <c r="D33" s="52">
        <v>18</v>
      </c>
    </row>
    <row r="34" spans="1:4">
      <c r="A34" s="53">
        <f t="shared" si="1"/>
        <v>33</v>
      </c>
      <c r="B34" s="54">
        <v>45581</v>
      </c>
      <c r="C34" s="55" t="s">
        <v>26</v>
      </c>
      <c r="D34" s="56">
        <v>58</v>
      </c>
    </row>
    <row r="35" spans="1:4">
      <c r="A35" s="50">
        <f t="shared" si="1"/>
        <v>34</v>
      </c>
      <c r="B35" s="51">
        <v>45582</v>
      </c>
      <c r="C35" s="1" t="s">
        <v>23</v>
      </c>
      <c r="D35" s="52">
        <v>19</v>
      </c>
    </row>
    <row r="36" spans="1:4">
      <c r="A36" s="50">
        <f t="shared" si="1"/>
        <v>35</v>
      </c>
      <c r="B36" s="51">
        <v>45582</v>
      </c>
      <c r="C36" s="1" t="s">
        <v>45</v>
      </c>
      <c r="D36" s="52">
        <v>1</v>
      </c>
    </row>
    <row r="37" spans="1:4">
      <c r="A37" s="53">
        <f t="shared" si="1"/>
        <v>36</v>
      </c>
      <c r="B37" s="54">
        <v>45582</v>
      </c>
      <c r="C37" s="55" t="s">
        <v>26</v>
      </c>
      <c r="D37" s="56">
        <v>58</v>
      </c>
    </row>
    <row r="38" spans="1:4">
      <c r="A38" s="50">
        <f t="shared" si="1"/>
        <v>37</v>
      </c>
      <c r="B38" s="51">
        <v>45583</v>
      </c>
      <c r="C38" s="1" t="s">
        <v>23</v>
      </c>
      <c r="D38" s="52">
        <v>19</v>
      </c>
    </row>
    <row r="39" spans="1:4">
      <c r="A39" s="50">
        <f t="shared" si="1"/>
        <v>38</v>
      </c>
      <c r="B39" s="51">
        <v>45583</v>
      </c>
      <c r="C39" s="1" t="s">
        <v>45</v>
      </c>
      <c r="D39" s="52">
        <v>1</v>
      </c>
    </row>
    <row r="40" spans="1:4">
      <c r="A40" s="53">
        <f t="shared" si="1"/>
        <v>39</v>
      </c>
      <c r="B40" s="54">
        <v>45583</v>
      </c>
      <c r="C40" s="55" t="s">
        <v>26</v>
      </c>
      <c r="D40" s="56">
        <v>83</v>
      </c>
    </row>
    <row r="41" spans="1:4">
      <c r="A41" s="50">
        <f t="shared" si="1"/>
        <v>40</v>
      </c>
      <c r="B41" s="51">
        <v>45584</v>
      </c>
      <c r="C41" s="1" t="s">
        <v>26</v>
      </c>
      <c r="D41" s="52">
        <v>83</v>
      </c>
    </row>
    <row r="42" spans="1:4">
      <c r="A42" s="50">
        <f t="shared" si="1"/>
        <v>41</v>
      </c>
      <c r="B42" s="51">
        <v>45584</v>
      </c>
      <c r="C42" s="1" t="s">
        <v>45</v>
      </c>
      <c r="D42" s="52">
        <v>1</v>
      </c>
    </row>
    <row r="43" spans="1:4">
      <c r="A43" s="53">
        <f t="shared" si="1"/>
        <v>42</v>
      </c>
      <c r="B43" s="54">
        <v>45584</v>
      </c>
      <c r="C43" s="55" t="s">
        <v>23</v>
      </c>
      <c r="D43" s="56">
        <v>19</v>
      </c>
    </row>
    <row r="44" spans="1:4">
      <c r="A44" s="50">
        <f t="shared" si="1"/>
        <v>43</v>
      </c>
      <c r="B44" s="51">
        <v>45585</v>
      </c>
      <c r="C44" s="1" t="s">
        <v>45</v>
      </c>
      <c r="D44" s="52">
        <v>1</v>
      </c>
    </row>
    <row r="45" spans="1:4">
      <c r="A45" s="50">
        <f t="shared" si="1"/>
        <v>44</v>
      </c>
      <c r="B45" s="51">
        <v>45585</v>
      </c>
      <c r="C45" s="1" t="s">
        <v>26</v>
      </c>
      <c r="D45" s="52">
        <v>83</v>
      </c>
    </row>
    <row r="46" spans="1:4">
      <c r="A46" s="53">
        <f t="shared" si="1"/>
        <v>45</v>
      </c>
      <c r="B46" s="54">
        <v>45585</v>
      </c>
      <c r="C46" s="55" t="s">
        <v>23</v>
      </c>
      <c r="D46" s="56">
        <v>19</v>
      </c>
    </row>
    <row r="47" spans="1:4">
      <c r="A47" s="50">
        <f t="shared" si="1"/>
        <v>46</v>
      </c>
      <c r="B47" s="51">
        <v>45586</v>
      </c>
      <c r="C47" s="1" t="s">
        <v>45</v>
      </c>
      <c r="D47" s="52">
        <v>7</v>
      </c>
    </row>
    <row r="48" spans="1:4">
      <c r="A48" s="50">
        <f t="shared" si="1"/>
        <v>47</v>
      </c>
      <c r="B48" s="51">
        <v>45586</v>
      </c>
      <c r="C48" s="1" t="s">
        <v>26</v>
      </c>
      <c r="D48" s="52">
        <v>77</v>
      </c>
    </row>
    <row r="49" spans="1:4">
      <c r="A49" s="53">
        <f t="shared" si="1"/>
        <v>48</v>
      </c>
      <c r="B49" s="54">
        <v>45586</v>
      </c>
      <c r="C49" s="55" t="s">
        <v>23</v>
      </c>
      <c r="D49" s="56">
        <v>19</v>
      </c>
    </row>
    <row r="50" spans="1:4">
      <c r="A50" s="50">
        <f t="shared" si="1"/>
        <v>49</v>
      </c>
      <c r="B50" s="51">
        <v>45587</v>
      </c>
      <c r="C50" s="1" t="s">
        <v>23</v>
      </c>
      <c r="D50" s="52">
        <v>19</v>
      </c>
    </row>
    <row r="51" spans="1:4">
      <c r="A51" s="50">
        <f t="shared" si="1"/>
        <v>50</v>
      </c>
      <c r="B51" s="51">
        <v>45587</v>
      </c>
      <c r="C51" s="1" t="s">
        <v>26</v>
      </c>
      <c r="D51" s="52">
        <v>77</v>
      </c>
    </row>
    <row r="52" spans="1:4">
      <c r="A52" s="53">
        <f t="shared" si="1"/>
        <v>51</v>
      </c>
      <c r="B52" s="54">
        <v>45587</v>
      </c>
      <c r="C52" s="55" t="s">
        <v>45</v>
      </c>
      <c r="D52" s="56">
        <v>7</v>
      </c>
    </row>
    <row r="53" spans="1:4">
      <c r="A53" s="50">
        <f t="shared" si="1"/>
        <v>52</v>
      </c>
      <c r="B53" s="51">
        <v>45588</v>
      </c>
      <c r="C53" s="1" t="s">
        <v>45</v>
      </c>
      <c r="D53" s="52">
        <v>7</v>
      </c>
    </row>
    <row r="54" spans="1:4">
      <c r="A54" s="50">
        <f t="shared" si="1"/>
        <v>53</v>
      </c>
      <c r="B54" s="51">
        <v>45588</v>
      </c>
      <c r="C54" s="1" t="s">
        <v>23</v>
      </c>
      <c r="D54" s="52">
        <v>18</v>
      </c>
    </row>
    <row r="55" spans="1:4">
      <c r="A55" s="53">
        <f t="shared" si="1"/>
        <v>54</v>
      </c>
      <c r="B55" s="54">
        <v>45588</v>
      </c>
      <c r="C55" s="55" t="s">
        <v>26</v>
      </c>
      <c r="D55" s="56">
        <v>79</v>
      </c>
    </row>
    <row r="56" spans="1:4">
      <c r="A56" s="50">
        <f t="shared" si="1"/>
        <v>55</v>
      </c>
      <c r="B56" s="51">
        <v>45589</v>
      </c>
      <c r="C56" s="1" t="s">
        <v>23</v>
      </c>
      <c r="D56" s="52">
        <v>18</v>
      </c>
    </row>
    <row r="57" spans="1:4">
      <c r="A57" s="50">
        <f t="shared" si="1"/>
        <v>56</v>
      </c>
      <c r="B57" s="51">
        <v>45589</v>
      </c>
      <c r="C57" s="1" t="s">
        <v>45</v>
      </c>
      <c r="D57" s="52">
        <v>7</v>
      </c>
    </row>
    <row r="58" spans="1:4">
      <c r="A58" s="53">
        <f t="shared" si="1"/>
        <v>57</v>
      </c>
      <c r="B58" s="54">
        <v>45589</v>
      </c>
      <c r="C58" s="55" t="s">
        <v>26</v>
      </c>
      <c r="D58" s="56">
        <v>79</v>
      </c>
    </row>
    <row r="59" spans="1:4">
      <c r="A59" s="50">
        <f t="shared" si="1"/>
        <v>58</v>
      </c>
      <c r="B59" s="51">
        <v>45590</v>
      </c>
      <c r="C59" s="1" t="s">
        <v>23</v>
      </c>
      <c r="D59" s="52">
        <v>19</v>
      </c>
    </row>
    <row r="60" spans="1:4">
      <c r="A60" s="50">
        <f t="shared" si="1"/>
        <v>59</v>
      </c>
      <c r="B60" s="51">
        <v>45590</v>
      </c>
      <c r="C60" s="1" t="s">
        <v>26</v>
      </c>
      <c r="D60" s="52">
        <v>95</v>
      </c>
    </row>
    <row r="61" spans="1:4">
      <c r="A61" s="53">
        <f t="shared" si="1"/>
        <v>60</v>
      </c>
      <c r="B61" s="54">
        <v>45590</v>
      </c>
      <c r="C61" s="55" t="s">
        <v>45</v>
      </c>
      <c r="D61" s="56">
        <v>7</v>
      </c>
    </row>
    <row r="62" spans="1:4">
      <c r="A62" s="50">
        <f t="shared" ref="A62:A64" si="2">IF(B62="","",ROW(A61))</f>
        <v>61</v>
      </c>
      <c r="B62" s="51">
        <v>45600</v>
      </c>
      <c r="C62" s="1" t="s">
        <v>45</v>
      </c>
      <c r="D62" s="52">
        <v>6</v>
      </c>
    </row>
    <row r="63" spans="1:4">
      <c r="A63" s="50">
        <f t="shared" si="2"/>
        <v>62</v>
      </c>
      <c r="B63" s="51">
        <v>45600</v>
      </c>
      <c r="C63" s="1" t="s">
        <v>26</v>
      </c>
      <c r="D63" s="52">
        <v>96</v>
      </c>
    </row>
    <row r="64" spans="1:4">
      <c r="A64" s="53">
        <f t="shared" si="2"/>
        <v>63</v>
      </c>
      <c r="B64" s="54">
        <v>45600</v>
      </c>
      <c r="C64" s="55" t="s">
        <v>23</v>
      </c>
      <c r="D64" s="56">
        <v>19</v>
      </c>
    </row>
    <row r="65" spans="1:4">
      <c r="A65" s="50">
        <f t="shared" ref="A65:A67" si="3">IF(B65="","",ROW(A64))</f>
        <v>64</v>
      </c>
      <c r="B65" s="51">
        <v>45601</v>
      </c>
      <c r="C65" s="1" t="s">
        <v>23</v>
      </c>
      <c r="D65" s="52">
        <v>19</v>
      </c>
    </row>
    <row r="66" spans="1:4">
      <c r="A66" s="50">
        <f t="shared" si="3"/>
        <v>65</v>
      </c>
      <c r="B66" s="51">
        <v>45601</v>
      </c>
      <c r="C66" s="1" t="s">
        <v>45</v>
      </c>
      <c r="D66" s="52">
        <v>6</v>
      </c>
    </row>
    <row r="67" spans="1:4">
      <c r="A67" s="53">
        <f t="shared" si="3"/>
        <v>66</v>
      </c>
      <c r="B67" s="54">
        <v>45601</v>
      </c>
      <c r="C67" s="55" t="s">
        <v>26</v>
      </c>
      <c r="D67" s="56">
        <v>96</v>
      </c>
    </row>
    <row r="68" spans="1:4">
      <c r="A68" s="50">
        <f t="shared" ref="A68:A70" si="4">IF(B68="","",ROW(A67))</f>
        <v>67</v>
      </c>
      <c r="B68" s="51">
        <v>45602</v>
      </c>
      <c r="C68" s="1" t="s">
        <v>45</v>
      </c>
      <c r="D68" s="52">
        <v>6</v>
      </c>
    </row>
    <row r="69" spans="1:4">
      <c r="A69" s="50">
        <f t="shared" si="4"/>
        <v>68</v>
      </c>
      <c r="B69" s="51">
        <v>45602</v>
      </c>
      <c r="C69" s="1" t="s">
        <v>26</v>
      </c>
      <c r="D69" s="52">
        <v>96</v>
      </c>
    </row>
    <row r="70" spans="1:4">
      <c r="A70" s="53">
        <f t="shared" si="4"/>
        <v>69</v>
      </c>
      <c r="B70" s="54">
        <v>45602</v>
      </c>
      <c r="C70" s="55" t="s">
        <v>23</v>
      </c>
      <c r="D70" s="56">
        <v>20</v>
      </c>
    </row>
    <row r="71" spans="1:4">
      <c r="A71" s="50">
        <f t="shared" ref="A71:A73" si="5">IF(B71="","",ROW(A70))</f>
        <v>70</v>
      </c>
      <c r="B71" s="51">
        <v>45603</v>
      </c>
      <c r="C71" s="1" t="s">
        <v>45</v>
      </c>
      <c r="D71" s="52">
        <v>6</v>
      </c>
    </row>
    <row r="72" spans="1:4">
      <c r="A72" s="50">
        <f t="shared" si="5"/>
        <v>71</v>
      </c>
      <c r="B72" s="51">
        <v>45603</v>
      </c>
      <c r="C72" s="1" t="s">
        <v>23</v>
      </c>
      <c r="D72" s="52">
        <v>20</v>
      </c>
    </row>
    <row r="73" spans="1:4">
      <c r="A73" s="53">
        <f t="shared" si="5"/>
        <v>72</v>
      </c>
      <c r="B73" s="54">
        <v>45603</v>
      </c>
      <c r="C73" s="55" t="s">
        <v>26</v>
      </c>
      <c r="D73" s="56">
        <v>96</v>
      </c>
    </row>
    <row r="74" spans="1:4">
      <c r="A74" s="50">
        <f t="shared" ref="A74:A76" si="6">IF(B74="","",ROW(A73))</f>
        <v>73</v>
      </c>
      <c r="B74" s="51">
        <v>45604</v>
      </c>
      <c r="C74" s="1" t="s">
        <v>26</v>
      </c>
      <c r="D74" s="52">
        <v>98</v>
      </c>
    </row>
    <row r="75" spans="1:4">
      <c r="A75" s="50">
        <f t="shared" si="6"/>
        <v>74</v>
      </c>
      <c r="B75" s="51">
        <v>45604</v>
      </c>
      <c r="C75" s="1" t="s">
        <v>23</v>
      </c>
      <c r="D75" s="52">
        <v>20</v>
      </c>
    </row>
    <row r="76" spans="1:4">
      <c r="A76" s="53">
        <f t="shared" si="6"/>
        <v>75</v>
      </c>
      <c r="B76" s="54">
        <v>45604</v>
      </c>
      <c r="C76" s="55" t="s">
        <v>45</v>
      </c>
      <c r="D76" s="56">
        <v>6</v>
      </c>
    </row>
    <row r="77" spans="1:4">
      <c r="A77" s="50">
        <f t="shared" ref="A77:A79" si="7">IF(B77="","",ROW(A76))</f>
        <v>76</v>
      </c>
      <c r="B77" s="51">
        <v>45605</v>
      </c>
      <c r="C77" s="1" t="s">
        <v>26</v>
      </c>
      <c r="D77" s="52">
        <v>71</v>
      </c>
    </row>
    <row r="78" spans="1:4">
      <c r="A78" s="50">
        <f t="shared" si="7"/>
        <v>77</v>
      </c>
      <c r="B78" s="51">
        <v>45605</v>
      </c>
      <c r="C78" s="1" t="s">
        <v>23</v>
      </c>
      <c r="D78" s="52">
        <v>20</v>
      </c>
    </row>
    <row r="79" spans="1:4">
      <c r="A79" s="53">
        <f t="shared" si="7"/>
        <v>78</v>
      </c>
      <c r="B79" s="54">
        <v>45605</v>
      </c>
      <c r="C79" s="55" t="s">
        <v>45</v>
      </c>
      <c r="D79" s="56">
        <v>31</v>
      </c>
    </row>
    <row r="80" spans="1:4">
      <c r="A80" s="50">
        <f t="shared" ref="A80:A82" si="8">IF(B80="","",ROW(A79))</f>
        <v>79</v>
      </c>
      <c r="B80" s="51">
        <v>45606</v>
      </c>
      <c r="C80" s="1" t="s">
        <v>23</v>
      </c>
      <c r="D80" s="52">
        <v>21</v>
      </c>
    </row>
    <row r="81" spans="1:4">
      <c r="A81" s="50">
        <f t="shared" si="8"/>
        <v>80</v>
      </c>
      <c r="B81" s="51">
        <v>45606</v>
      </c>
      <c r="C81" s="1" t="s">
        <v>26</v>
      </c>
      <c r="D81" s="52">
        <v>71</v>
      </c>
    </row>
    <row r="82" spans="1:4">
      <c r="A82" s="53">
        <f t="shared" si="8"/>
        <v>81</v>
      </c>
      <c r="B82" s="54">
        <v>45606</v>
      </c>
      <c r="C82" s="55" t="s">
        <v>45</v>
      </c>
      <c r="D82" s="56">
        <v>31</v>
      </c>
    </row>
    <row r="83" spans="1:4">
      <c r="A83" s="50">
        <f t="shared" ref="A83:A85" si="9">IF(B83="","",ROW(A82))</f>
        <v>82</v>
      </c>
      <c r="B83" s="51">
        <v>45607</v>
      </c>
      <c r="C83" s="1" t="s">
        <v>23</v>
      </c>
      <c r="D83" s="52">
        <v>21</v>
      </c>
    </row>
    <row r="84" spans="1:4">
      <c r="A84" s="50">
        <f t="shared" si="9"/>
        <v>83</v>
      </c>
      <c r="B84" s="51">
        <v>45607</v>
      </c>
      <c r="C84" s="1" t="s">
        <v>45</v>
      </c>
      <c r="D84" s="52">
        <v>30</v>
      </c>
    </row>
    <row r="85" spans="1:4">
      <c r="A85" s="53">
        <f t="shared" si="9"/>
        <v>84</v>
      </c>
      <c r="B85" s="54">
        <v>45607</v>
      </c>
      <c r="C85" s="55" t="s">
        <v>26</v>
      </c>
      <c r="D85" s="56">
        <v>71</v>
      </c>
    </row>
    <row r="86" spans="1:4">
      <c r="A86" s="50">
        <f t="shared" ref="A86:A88" si="10">IF(B86="","",ROW(A85))</f>
        <v>85</v>
      </c>
      <c r="B86" s="51">
        <v>45608</v>
      </c>
      <c r="C86" s="1" t="s">
        <v>26</v>
      </c>
      <c r="D86" s="52">
        <v>71</v>
      </c>
    </row>
    <row r="87" spans="1:4">
      <c r="A87" s="50">
        <f t="shared" si="10"/>
        <v>86</v>
      </c>
      <c r="B87" s="51">
        <v>45608</v>
      </c>
      <c r="C87" s="1" t="s">
        <v>23</v>
      </c>
      <c r="D87" s="52">
        <v>21</v>
      </c>
    </row>
    <row r="88" spans="1:4">
      <c r="A88" s="53">
        <f t="shared" si="10"/>
        <v>87</v>
      </c>
      <c r="B88" s="54">
        <v>45608</v>
      </c>
      <c r="C88" s="55" t="s">
        <v>45</v>
      </c>
      <c r="D88" s="56">
        <v>30</v>
      </c>
    </row>
    <row r="89" spans="1:4">
      <c r="A89" s="50">
        <f t="shared" ref="A89:A91" si="11">IF(B89="","",ROW(A88))</f>
        <v>88</v>
      </c>
      <c r="B89" s="51">
        <v>45609</v>
      </c>
      <c r="C89" s="1" t="s">
        <v>23</v>
      </c>
      <c r="D89" s="52">
        <v>21</v>
      </c>
    </row>
    <row r="90" spans="1:4">
      <c r="A90" s="50">
        <f t="shared" si="11"/>
        <v>89</v>
      </c>
      <c r="B90" s="51">
        <v>45609</v>
      </c>
      <c r="C90" s="1" t="s">
        <v>26</v>
      </c>
      <c r="D90" s="52">
        <v>71</v>
      </c>
    </row>
    <row r="91" spans="1:4">
      <c r="A91" s="53">
        <f t="shared" si="11"/>
        <v>90</v>
      </c>
      <c r="B91" s="54">
        <v>45609</v>
      </c>
      <c r="C91" s="55" t="s">
        <v>45</v>
      </c>
      <c r="D91" s="56">
        <v>30</v>
      </c>
    </row>
    <row r="92" spans="1:4">
      <c r="A92" s="50">
        <f t="shared" ref="A92:A94" si="12">IF(B92="","",ROW(A91))</f>
        <v>91</v>
      </c>
      <c r="B92" s="51">
        <v>45610</v>
      </c>
      <c r="C92" s="1" t="s">
        <v>26</v>
      </c>
      <c r="D92" s="52">
        <v>93</v>
      </c>
    </row>
    <row r="93" spans="1:4">
      <c r="A93" s="50">
        <f t="shared" si="12"/>
        <v>92</v>
      </c>
      <c r="B93" s="51">
        <v>45610</v>
      </c>
      <c r="C93" s="1" t="s">
        <v>23</v>
      </c>
      <c r="D93" s="52">
        <v>21</v>
      </c>
    </row>
    <row r="94" spans="1:4">
      <c r="A94" s="53">
        <f t="shared" si="12"/>
        <v>93</v>
      </c>
      <c r="B94" s="54">
        <v>45610</v>
      </c>
      <c r="C94" s="55" t="s">
        <v>45</v>
      </c>
      <c r="D94" s="56">
        <v>30</v>
      </c>
    </row>
    <row r="95" spans="1:4">
      <c r="A95" s="50">
        <f t="shared" ref="A95:A97" si="13">IF(B95="","",ROW(A94))</f>
        <v>94</v>
      </c>
      <c r="B95" s="51">
        <v>45611</v>
      </c>
      <c r="C95" s="1" t="s">
        <v>45</v>
      </c>
      <c r="D95" s="52">
        <v>30</v>
      </c>
    </row>
    <row r="96" spans="1:4">
      <c r="A96" s="50">
        <f t="shared" si="13"/>
        <v>95</v>
      </c>
      <c r="B96" s="51">
        <v>45611</v>
      </c>
      <c r="C96" s="1" t="s">
        <v>23</v>
      </c>
      <c r="D96" s="52">
        <v>21</v>
      </c>
    </row>
    <row r="97" spans="1:4">
      <c r="A97" s="53">
        <f t="shared" si="13"/>
        <v>96</v>
      </c>
      <c r="B97" s="54">
        <v>45611</v>
      </c>
      <c r="C97" s="55" t="s">
        <v>26</v>
      </c>
      <c r="D97" s="56">
        <v>93</v>
      </c>
    </row>
    <row r="98" spans="1:4">
      <c r="A98" s="50">
        <f t="shared" ref="A98:A100" si="14">IF(B98="","",ROW(A97))</f>
        <v>97</v>
      </c>
      <c r="B98" s="51">
        <v>45612</v>
      </c>
      <c r="C98" s="1" t="s">
        <v>45</v>
      </c>
      <c r="D98" s="52">
        <v>30</v>
      </c>
    </row>
    <row r="99" spans="1:4">
      <c r="A99" s="50">
        <f t="shared" si="14"/>
        <v>98</v>
      </c>
      <c r="B99" s="51">
        <v>45612</v>
      </c>
      <c r="C99" s="1" t="s">
        <v>23</v>
      </c>
      <c r="D99" s="52">
        <v>21</v>
      </c>
    </row>
    <row r="100" spans="1:4">
      <c r="A100" s="53">
        <f t="shared" si="14"/>
        <v>99</v>
      </c>
      <c r="B100" s="54">
        <v>45612</v>
      </c>
      <c r="C100" s="55" t="s">
        <v>26</v>
      </c>
      <c r="D100" s="56">
        <v>93</v>
      </c>
    </row>
    <row r="101" spans="1:4">
      <c r="A101" s="50">
        <f t="shared" ref="A101:A103" si="15">IF(B101="","",ROW(A100))</f>
        <v>100</v>
      </c>
      <c r="B101" s="51">
        <v>45613</v>
      </c>
      <c r="C101" s="1" t="s">
        <v>26</v>
      </c>
      <c r="D101" s="52">
        <v>93</v>
      </c>
    </row>
    <row r="102" spans="1:4">
      <c r="A102" s="50">
        <f t="shared" si="15"/>
        <v>101</v>
      </c>
      <c r="B102" s="51">
        <v>45613</v>
      </c>
      <c r="C102" s="1" t="s">
        <v>45</v>
      </c>
      <c r="D102" s="52">
        <v>30</v>
      </c>
    </row>
    <row r="103" spans="1:4">
      <c r="A103" s="53">
        <f t="shared" si="15"/>
        <v>102</v>
      </c>
      <c r="B103" s="54">
        <v>45613</v>
      </c>
      <c r="C103" s="55" t="s">
        <v>23</v>
      </c>
      <c r="D103" s="56">
        <v>21</v>
      </c>
    </row>
    <row r="104" spans="1:4">
      <c r="A104" s="50">
        <f t="shared" ref="A104:A106" si="16">IF(B104="","",ROW(A103))</f>
        <v>103</v>
      </c>
      <c r="B104" s="51">
        <v>45614</v>
      </c>
      <c r="C104" s="1" t="s">
        <v>26</v>
      </c>
      <c r="D104" s="52">
        <v>93</v>
      </c>
    </row>
    <row r="105" spans="1:4">
      <c r="A105" s="50">
        <f t="shared" si="16"/>
        <v>104</v>
      </c>
      <c r="B105" s="51">
        <v>45614</v>
      </c>
      <c r="C105" s="1" t="s">
        <v>45</v>
      </c>
      <c r="D105" s="52">
        <v>30</v>
      </c>
    </row>
    <row r="106" spans="1:4">
      <c r="A106" s="53">
        <f t="shared" si="16"/>
        <v>105</v>
      </c>
      <c r="B106" s="54">
        <v>45614</v>
      </c>
      <c r="C106" s="55" t="s">
        <v>23</v>
      </c>
      <c r="D106" s="56">
        <v>21</v>
      </c>
    </row>
    <row r="107" spans="1:4">
      <c r="A107" s="50">
        <f t="shared" ref="A107:A109" si="17">IF(B107="","",ROW(A106))</f>
        <v>106</v>
      </c>
      <c r="B107" s="51">
        <v>45615</v>
      </c>
      <c r="C107" s="1" t="s">
        <v>45</v>
      </c>
      <c r="D107" s="52">
        <v>30</v>
      </c>
    </row>
    <row r="108" spans="1:4">
      <c r="A108" s="50">
        <f t="shared" si="17"/>
        <v>107</v>
      </c>
      <c r="B108" s="51">
        <v>45615</v>
      </c>
      <c r="C108" s="1" t="s">
        <v>23</v>
      </c>
      <c r="D108" s="52">
        <v>21</v>
      </c>
    </row>
    <row r="109" spans="1:4">
      <c r="A109" s="53">
        <f t="shared" si="17"/>
        <v>108</v>
      </c>
      <c r="B109" s="54">
        <v>45615</v>
      </c>
      <c r="C109" s="55" t="s">
        <v>26</v>
      </c>
      <c r="D109" s="56">
        <v>93</v>
      </c>
    </row>
    <row r="110" spans="1:4">
      <c r="A110" s="50">
        <f t="shared" ref="A110:A112" si="18">IF(B110="","",ROW(A109))</f>
        <v>109</v>
      </c>
      <c r="B110" s="51">
        <v>45616</v>
      </c>
      <c r="C110" s="1" t="s">
        <v>26</v>
      </c>
      <c r="D110" s="52">
        <v>93</v>
      </c>
    </row>
    <row r="111" spans="1:4">
      <c r="A111" s="50">
        <f t="shared" si="18"/>
        <v>110</v>
      </c>
      <c r="B111" s="51">
        <v>45616</v>
      </c>
      <c r="C111" s="1" t="s">
        <v>23</v>
      </c>
      <c r="D111" s="52">
        <v>21</v>
      </c>
    </row>
    <row r="112" spans="1:4">
      <c r="A112" s="53">
        <f t="shared" si="18"/>
        <v>111</v>
      </c>
      <c r="B112" s="54">
        <v>45616</v>
      </c>
      <c r="C112" s="55" t="s">
        <v>45</v>
      </c>
      <c r="D112" s="56">
        <v>30</v>
      </c>
    </row>
    <row r="113" spans="1:4">
      <c r="A113" s="50">
        <f t="shared" ref="A113:A115" si="19">IF(B113="","",ROW(A112))</f>
        <v>112</v>
      </c>
      <c r="B113" s="51">
        <v>45617</v>
      </c>
      <c r="C113" s="1" t="s">
        <v>23</v>
      </c>
      <c r="D113" s="52">
        <v>21</v>
      </c>
    </row>
    <row r="114" spans="1:4">
      <c r="A114" s="50">
        <f t="shared" si="19"/>
        <v>113</v>
      </c>
      <c r="B114" s="51">
        <v>45617</v>
      </c>
      <c r="C114" s="1" t="s">
        <v>26</v>
      </c>
      <c r="D114" s="52">
        <v>93</v>
      </c>
    </row>
    <row r="115" spans="1:4">
      <c r="A115" s="53">
        <f t="shared" si="19"/>
        <v>114</v>
      </c>
      <c r="B115" s="54">
        <v>45617</v>
      </c>
      <c r="C115" s="55" t="s">
        <v>45</v>
      </c>
      <c r="D115" s="56">
        <v>30</v>
      </c>
    </row>
    <row r="116" spans="1:4">
      <c r="A116" s="50">
        <f t="shared" ref="A116:A118" si="20">IF(B116="","",ROW(A115))</f>
        <v>115</v>
      </c>
      <c r="B116" s="51">
        <v>45618</v>
      </c>
      <c r="C116" s="1" t="s">
        <v>23</v>
      </c>
      <c r="D116" s="52">
        <v>21</v>
      </c>
    </row>
    <row r="117" spans="1:4">
      <c r="A117" s="50">
        <f t="shared" si="20"/>
        <v>116</v>
      </c>
      <c r="B117" s="51">
        <v>45618</v>
      </c>
      <c r="C117" s="1" t="s">
        <v>45</v>
      </c>
      <c r="D117" s="52">
        <v>30</v>
      </c>
    </row>
    <row r="118" spans="1:4">
      <c r="A118" s="53">
        <f t="shared" si="20"/>
        <v>117</v>
      </c>
      <c r="B118" s="54">
        <v>45618</v>
      </c>
      <c r="C118" s="55" t="s">
        <v>26</v>
      </c>
      <c r="D118" s="56">
        <v>93</v>
      </c>
    </row>
    <row r="119" spans="1:4">
      <c r="A119" s="50">
        <f t="shared" ref="A119:A121" si="21">IF(B119="","",ROW(A118))</f>
        <v>118</v>
      </c>
      <c r="B119" s="51">
        <v>45619</v>
      </c>
      <c r="C119" s="1" t="s">
        <v>45</v>
      </c>
      <c r="D119" s="52">
        <v>23</v>
      </c>
    </row>
    <row r="120" spans="1:4">
      <c r="A120" s="50">
        <f t="shared" si="21"/>
        <v>119</v>
      </c>
      <c r="B120" s="51">
        <v>45619</v>
      </c>
      <c r="C120" s="1" t="s">
        <v>26</v>
      </c>
      <c r="D120" s="52">
        <v>87</v>
      </c>
    </row>
    <row r="121" spans="1:4">
      <c r="A121" s="53">
        <f t="shared" si="21"/>
        <v>120</v>
      </c>
      <c r="B121" s="54">
        <v>45619</v>
      </c>
      <c r="C121" s="55" t="s">
        <v>23</v>
      </c>
      <c r="D121" s="56">
        <v>21</v>
      </c>
    </row>
    <row r="122" spans="1:4">
      <c r="A122" s="50">
        <f t="shared" ref="A122:A124" si="22">IF(B122="","",ROW(A121))</f>
        <v>121</v>
      </c>
      <c r="B122" s="51">
        <v>45620</v>
      </c>
      <c r="C122" s="1" t="s">
        <v>23</v>
      </c>
      <c r="D122" s="52">
        <v>23</v>
      </c>
    </row>
    <row r="123" spans="1:4">
      <c r="A123" s="50">
        <f t="shared" si="22"/>
        <v>122</v>
      </c>
      <c r="B123" s="51">
        <v>45620</v>
      </c>
      <c r="C123" s="1" t="s">
        <v>26</v>
      </c>
      <c r="D123" s="52">
        <v>85</v>
      </c>
    </row>
    <row r="124" spans="1:4">
      <c r="A124" s="53">
        <f t="shared" si="22"/>
        <v>123</v>
      </c>
      <c r="B124" s="54">
        <v>45620</v>
      </c>
      <c r="C124" s="55" t="s">
        <v>45</v>
      </c>
      <c r="D124" s="56">
        <v>23</v>
      </c>
    </row>
    <row r="125" spans="1:4">
      <c r="A125" s="50">
        <f t="shared" ref="A125:A127" si="23">IF(B125="","",ROW(A124))</f>
        <v>124</v>
      </c>
      <c r="B125" s="51">
        <v>45621</v>
      </c>
      <c r="C125" s="1" t="s">
        <v>45</v>
      </c>
      <c r="D125" s="52">
        <v>23</v>
      </c>
    </row>
    <row r="126" spans="1:4">
      <c r="A126" s="50">
        <f t="shared" si="23"/>
        <v>125</v>
      </c>
      <c r="B126" s="51">
        <v>45621</v>
      </c>
      <c r="C126" s="1" t="s">
        <v>23</v>
      </c>
      <c r="D126" s="52">
        <v>23</v>
      </c>
    </row>
    <row r="127" spans="1:4">
      <c r="A127" s="53">
        <f t="shared" si="23"/>
        <v>126</v>
      </c>
      <c r="B127" s="54">
        <v>45621</v>
      </c>
      <c r="C127" s="55" t="s">
        <v>26</v>
      </c>
      <c r="D127" s="56">
        <v>85</v>
      </c>
    </row>
    <row r="128" spans="1:4">
      <c r="A128" s="50">
        <f t="shared" ref="A128:A130" si="24">IF(B128="","",ROW(A127))</f>
        <v>127</v>
      </c>
      <c r="B128" s="51">
        <v>45622</v>
      </c>
      <c r="C128" s="1" t="s">
        <v>23</v>
      </c>
      <c r="D128" s="52">
        <v>24</v>
      </c>
    </row>
    <row r="129" spans="1:4">
      <c r="A129" s="50">
        <f t="shared" si="24"/>
        <v>128</v>
      </c>
      <c r="B129" s="51">
        <v>45622</v>
      </c>
      <c r="C129" s="1" t="s">
        <v>26</v>
      </c>
      <c r="D129" s="52">
        <v>84</v>
      </c>
    </row>
    <row r="130" spans="1:4">
      <c r="A130" s="53">
        <f t="shared" si="24"/>
        <v>129</v>
      </c>
      <c r="B130" s="54">
        <v>45622</v>
      </c>
      <c r="C130" s="55" t="s">
        <v>45</v>
      </c>
      <c r="D130" s="56">
        <v>23</v>
      </c>
    </row>
    <row r="131" spans="1:4">
      <c r="A131" s="50">
        <f t="shared" ref="A131:A133" si="25">IF(B131="","",ROW(A130))</f>
        <v>130</v>
      </c>
      <c r="B131" s="51">
        <v>45623</v>
      </c>
      <c r="C131" s="1" t="s">
        <v>23</v>
      </c>
      <c r="D131" s="52">
        <v>24</v>
      </c>
    </row>
    <row r="132" spans="1:4">
      <c r="A132" s="50">
        <f t="shared" si="25"/>
        <v>131</v>
      </c>
      <c r="B132" s="51">
        <v>45623</v>
      </c>
      <c r="C132" s="1" t="s">
        <v>45</v>
      </c>
      <c r="D132" s="52">
        <v>39</v>
      </c>
    </row>
    <row r="133" spans="1:4">
      <c r="A133" s="53">
        <f t="shared" si="25"/>
        <v>132</v>
      </c>
      <c r="B133" s="54">
        <v>45623</v>
      </c>
      <c r="C133" s="55" t="s">
        <v>26</v>
      </c>
      <c r="D133" s="56">
        <v>76</v>
      </c>
    </row>
    <row r="134" spans="1:4">
      <c r="A134" s="50">
        <f t="shared" ref="A134:A136" si="26">IF(B134="","",ROW(A133))</f>
        <v>133</v>
      </c>
      <c r="B134" s="51">
        <v>45624</v>
      </c>
      <c r="C134" s="1" t="s">
        <v>23</v>
      </c>
      <c r="D134" s="52">
        <v>24</v>
      </c>
    </row>
    <row r="135" spans="1:4">
      <c r="A135" s="50">
        <f t="shared" si="26"/>
        <v>134</v>
      </c>
      <c r="B135" s="51">
        <v>45624</v>
      </c>
      <c r="C135" s="1" t="s">
        <v>26</v>
      </c>
      <c r="D135" s="52">
        <v>78</v>
      </c>
    </row>
    <row r="136" spans="1:4">
      <c r="A136" s="53">
        <f t="shared" si="26"/>
        <v>135</v>
      </c>
      <c r="B136" s="54">
        <v>45624</v>
      </c>
      <c r="C136" s="55" t="s">
        <v>45</v>
      </c>
      <c r="D136" s="56">
        <v>39</v>
      </c>
    </row>
    <row r="137" spans="1:4">
      <c r="A137" s="50">
        <f t="shared" ref="A137:A139" si="27">IF(B137="","",ROW(A136))</f>
        <v>136</v>
      </c>
      <c r="B137" s="51">
        <v>45625</v>
      </c>
      <c r="C137" s="1" t="s">
        <v>45</v>
      </c>
      <c r="D137" s="52">
        <v>39</v>
      </c>
    </row>
    <row r="138" spans="1:4">
      <c r="A138" s="50">
        <f t="shared" si="27"/>
        <v>137</v>
      </c>
      <c r="B138" s="51">
        <v>45625</v>
      </c>
      <c r="C138" s="1" t="s">
        <v>26</v>
      </c>
      <c r="D138" s="52">
        <v>78</v>
      </c>
    </row>
    <row r="139" spans="1:4">
      <c r="A139" s="53">
        <f t="shared" si="27"/>
        <v>138</v>
      </c>
      <c r="B139" s="54">
        <v>45625</v>
      </c>
      <c r="C139" s="55" t="s">
        <v>23</v>
      </c>
      <c r="D139" s="56">
        <v>24</v>
      </c>
    </row>
    <row r="140" spans="1:4">
      <c r="A140" s="50">
        <f t="shared" ref="A140:A142" si="28">IF(B140="","",ROW(A139))</f>
        <v>139</v>
      </c>
      <c r="B140" s="51">
        <v>45626</v>
      </c>
      <c r="C140" s="1" t="s">
        <v>23</v>
      </c>
      <c r="D140" s="52">
        <v>24</v>
      </c>
    </row>
    <row r="141" spans="1:4">
      <c r="A141" s="50">
        <f t="shared" si="28"/>
        <v>140</v>
      </c>
      <c r="B141" s="51">
        <v>45626</v>
      </c>
      <c r="C141" s="1" t="s">
        <v>45</v>
      </c>
      <c r="D141" s="52">
        <v>38</v>
      </c>
    </row>
    <row r="142" spans="1:4">
      <c r="A142" s="53">
        <f t="shared" si="28"/>
        <v>141</v>
      </c>
      <c r="B142" s="54">
        <v>45626</v>
      </c>
      <c r="C142" s="55" t="s">
        <v>26</v>
      </c>
      <c r="D142" s="56">
        <v>80</v>
      </c>
    </row>
    <row r="143" spans="1:4">
      <c r="A143" s="50">
        <f t="shared" ref="A143:A145" si="29">IF(B143="","",ROW(A142))</f>
        <v>142</v>
      </c>
      <c r="B143" s="51">
        <v>45627</v>
      </c>
      <c r="C143" s="1" t="s">
        <v>23</v>
      </c>
      <c r="D143" s="52">
        <v>24</v>
      </c>
    </row>
    <row r="144" spans="1:4">
      <c r="A144" s="50">
        <f t="shared" si="29"/>
        <v>143</v>
      </c>
      <c r="B144" s="51">
        <v>45627</v>
      </c>
      <c r="C144" s="1" t="s">
        <v>26</v>
      </c>
      <c r="D144" s="52">
        <v>80</v>
      </c>
    </row>
    <row r="145" spans="1:4">
      <c r="A145" s="53">
        <f t="shared" si="29"/>
        <v>144</v>
      </c>
      <c r="B145" s="54">
        <v>45627</v>
      </c>
      <c r="C145" s="55" t="s">
        <v>45</v>
      </c>
      <c r="D145" s="56">
        <v>38</v>
      </c>
    </row>
    <row r="146" spans="1:4">
      <c r="A146" s="50">
        <f t="shared" ref="A146:A148" si="30">IF(B146="","",ROW(A145))</f>
        <v>145</v>
      </c>
      <c r="B146" s="51">
        <v>45628</v>
      </c>
      <c r="C146" s="1" t="s">
        <v>23</v>
      </c>
      <c r="D146" s="52">
        <v>24</v>
      </c>
    </row>
    <row r="147" spans="1:4">
      <c r="A147" s="50">
        <f t="shared" si="30"/>
        <v>146</v>
      </c>
      <c r="B147" s="51">
        <v>45628</v>
      </c>
      <c r="C147" s="1" t="s">
        <v>45</v>
      </c>
      <c r="D147" s="52">
        <v>38</v>
      </c>
    </row>
    <row r="148" spans="1:4">
      <c r="A148" s="53">
        <f t="shared" si="30"/>
        <v>147</v>
      </c>
      <c r="B148" s="54">
        <v>45628</v>
      </c>
      <c r="C148" s="55" t="s">
        <v>26</v>
      </c>
      <c r="D148" s="56">
        <v>81</v>
      </c>
    </row>
    <row r="149" spans="1:4">
      <c r="A149" s="50">
        <f t="shared" ref="A149:A151" si="31">IF(B149="","",ROW(A148))</f>
        <v>148</v>
      </c>
      <c r="B149" s="51">
        <v>45629</v>
      </c>
      <c r="C149" s="1" t="s">
        <v>45</v>
      </c>
      <c r="D149" s="52">
        <v>38</v>
      </c>
    </row>
    <row r="150" spans="1:4">
      <c r="A150" s="50">
        <f t="shared" si="31"/>
        <v>149</v>
      </c>
      <c r="B150" s="51">
        <v>45629</v>
      </c>
      <c r="C150" s="1" t="s">
        <v>23</v>
      </c>
      <c r="D150" s="52">
        <v>26</v>
      </c>
    </row>
    <row r="151" spans="1:4">
      <c r="A151" s="53">
        <f t="shared" si="31"/>
        <v>150</v>
      </c>
      <c r="B151" s="54">
        <v>45629</v>
      </c>
      <c r="C151" s="55" t="s">
        <v>26</v>
      </c>
      <c r="D151" s="56">
        <v>79</v>
      </c>
    </row>
    <row r="152" spans="1:4">
      <c r="A152" s="50">
        <f t="shared" ref="A152:A154" si="32">IF(B152="","",ROW(A151))</f>
        <v>151</v>
      </c>
      <c r="B152" s="51">
        <v>45630</v>
      </c>
      <c r="C152" s="1" t="s">
        <v>23</v>
      </c>
      <c r="D152" s="52">
        <v>26</v>
      </c>
    </row>
    <row r="153" spans="1:4">
      <c r="A153" s="50">
        <f t="shared" si="32"/>
        <v>152</v>
      </c>
      <c r="B153" s="51">
        <v>45630</v>
      </c>
      <c r="C153" s="1" t="s">
        <v>26</v>
      </c>
      <c r="D153" s="52">
        <v>79</v>
      </c>
    </row>
    <row r="154" spans="1:4">
      <c r="A154" s="53">
        <f t="shared" si="32"/>
        <v>153</v>
      </c>
      <c r="B154" s="54">
        <v>45630</v>
      </c>
      <c r="C154" s="55" t="s">
        <v>45</v>
      </c>
      <c r="D154" s="56">
        <v>38</v>
      </c>
    </row>
    <row r="155" spans="1:4">
      <c r="A155" s="50">
        <f t="shared" ref="A155:A157" si="33">IF(B155="","",ROW(A154))</f>
        <v>154</v>
      </c>
      <c r="B155" s="51">
        <v>45631</v>
      </c>
      <c r="C155" s="1" t="s">
        <v>45</v>
      </c>
      <c r="D155" s="52">
        <v>46</v>
      </c>
    </row>
    <row r="156" spans="1:4">
      <c r="A156" s="50">
        <f t="shared" si="33"/>
        <v>155</v>
      </c>
      <c r="B156" s="51">
        <v>45631</v>
      </c>
      <c r="C156" s="1" t="s">
        <v>26</v>
      </c>
      <c r="D156" s="52">
        <v>72</v>
      </c>
    </row>
    <row r="157" spans="1:4">
      <c r="A157" s="53">
        <f t="shared" si="33"/>
        <v>156</v>
      </c>
      <c r="B157" s="54">
        <v>45631</v>
      </c>
      <c r="C157" s="55" t="s">
        <v>23</v>
      </c>
      <c r="D157" s="56">
        <v>26</v>
      </c>
    </row>
    <row r="158" spans="1:4">
      <c r="A158" s="50">
        <f t="shared" ref="A158:A160" si="34">IF(B158="","",ROW(A157))</f>
        <v>157</v>
      </c>
      <c r="B158" s="51">
        <v>45632</v>
      </c>
      <c r="C158" s="1" t="s">
        <v>23</v>
      </c>
      <c r="D158" s="52">
        <v>26</v>
      </c>
    </row>
    <row r="159" spans="1:4">
      <c r="A159" s="50">
        <f t="shared" si="34"/>
        <v>158</v>
      </c>
      <c r="B159" s="51">
        <v>45632</v>
      </c>
      <c r="C159" s="1" t="s">
        <v>26</v>
      </c>
      <c r="D159" s="52">
        <v>73</v>
      </c>
    </row>
    <row r="160" spans="1:4">
      <c r="A160" s="53">
        <f t="shared" si="34"/>
        <v>159</v>
      </c>
      <c r="B160" s="54">
        <v>45632</v>
      </c>
      <c r="C160" s="55" t="s">
        <v>45</v>
      </c>
      <c r="D160" s="56">
        <v>46</v>
      </c>
    </row>
    <row r="161" spans="1:4">
      <c r="A161" s="50">
        <f t="shared" ref="A161:A163" si="35">IF(B161="","",ROW(A160))</f>
        <v>160</v>
      </c>
      <c r="B161" s="51">
        <v>45633</v>
      </c>
      <c r="C161" s="1" t="s">
        <v>26</v>
      </c>
      <c r="D161" s="52">
        <v>73</v>
      </c>
    </row>
    <row r="162" spans="1:4">
      <c r="A162" s="50">
        <f t="shared" si="35"/>
        <v>161</v>
      </c>
      <c r="B162" s="51">
        <v>45633</v>
      </c>
      <c r="C162" s="1" t="s">
        <v>45</v>
      </c>
      <c r="D162" s="52">
        <v>46</v>
      </c>
    </row>
    <row r="163" spans="1:4">
      <c r="A163" s="53">
        <f t="shared" si="35"/>
        <v>162</v>
      </c>
      <c r="B163" s="54">
        <v>45633</v>
      </c>
      <c r="C163" s="55" t="s">
        <v>23</v>
      </c>
      <c r="D163" s="56">
        <v>26</v>
      </c>
    </row>
    <row r="164" spans="1:4">
      <c r="A164" s="50">
        <f t="shared" ref="A164:A166" si="36">IF(B164="","",ROW(A163))</f>
        <v>163</v>
      </c>
      <c r="B164" s="51">
        <v>45634</v>
      </c>
      <c r="C164" s="1" t="s">
        <v>26</v>
      </c>
      <c r="D164" s="52">
        <v>72</v>
      </c>
    </row>
    <row r="165" spans="1:4">
      <c r="A165" s="50">
        <f t="shared" si="36"/>
        <v>164</v>
      </c>
      <c r="B165" s="51">
        <v>45634</v>
      </c>
      <c r="C165" s="1" t="s">
        <v>45</v>
      </c>
      <c r="D165" s="52">
        <v>46</v>
      </c>
    </row>
    <row r="166" spans="1:4">
      <c r="A166" s="53">
        <f t="shared" si="36"/>
        <v>165</v>
      </c>
      <c r="B166" s="54">
        <v>45634</v>
      </c>
      <c r="C166" s="55" t="s">
        <v>23</v>
      </c>
      <c r="D166" s="56">
        <v>27</v>
      </c>
    </row>
    <row r="167" spans="1:4">
      <c r="A167" s="50">
        <f t="shared" ref="A167:A169" si="37">IF(B167="","",ROW(A166))</f>
        <v>166</v>
      </c>
      <c r="B167" s="51">
        <v>45635</v>
      </c>
      <c r="C167" s="1" t="s">
        <v>26</v>
      </c>
      <c r="D167" s="52">
        <v>74</v>
      </c>
    </row>
    <row r="168" spans="1:4">
      <c r="A168" s="50">
        <f t="shared" si="37"/>
        <v>167</v>
      </c>
      <c r="B168" s="51">
        <v>45635</v>
      </c>
      <c r="C168" s="1" t="s">
        <v>23</v>
      </c>
      <c r="D168" s="52">
        <v>27</v>
      </c>
    </row>
    <row r="169" spans="1:4">
      <c r="A169" s="53">
        <f t="shared" si="37"/>
        <v>168</v>
      </c>
      <c r="B169" s="54">
        <v>45635</v>
      </c>
      <c r="C169" s="55" t="s">
        <v>45</v>
      </c>
      <c r="D169" s="56">
        <v>46</v>
      </c>
    </row>
    <row r="170" spans="1:4">
      <c r="A170" s="50">
        <f t="shared" ref="A170:A172" si="38">IF(B170="","",ROW(A169))</f>
        <v>169</v>
      </c>
      <c r="B170" s="51">
        <v>45636</v>
      </c>
      <c r="C170" s="1" t="s">
        <v>23</v>
      </c>
      <c r="D170" s="52">
        <v>27</v>
      </c>
    </row>
    <row r="171" spans="1:4">
      <c r="A171" s="50">
        <f t="shared" si="38"/>
        <v>170</v>
      </c>
      <c r="B171" s="51">
        <v>45636</v>
      </c>
      <c r="C171" s="1" t="s">
        <v>26</v>
      </c>
      <c r="D171" s="52">
        <v>75</v>
      </c>
    </row>
    <row r="172" spans="1:4">
      <c r="A172" s="53">
        <f t="shared" si="38"/>
        <v>171</v>
      </c>
      <c r="B172" s="54">
        <v>45636</v>
      </c>
      <c r="C172" s="55" t="s">
        <v>45</v>
      </c>
      <c r="D172" s="56">
        <v>45</v>
      </c>
    </row>
    <row r="173" spans="1:4">
      <c r="A173" s="50">
        <f t="shared" ref="A173:A175" si="39">IF(B173="","",ROW(A172))</f>
        <v>172</v>
      </c>
      <c r="B173" s="51">
        <v>45637</v>
      </c>
      <c r="C173" s="1" t="s">
        <v>23</v>
      </c>
      <c r="D173" s="52">
        <v>27</v>
      </c>
    </row>
    <row r="174" spans="1:4">
      <c r="A174" s="50">
        <f t="shared" si="39"/>
        <v>173</v>
      </c>
      <c r="B174" s="51">
        <v>45637</v>
      </c>
      <c r="C174" s="1" t="s">
        <v>45</v>
      </c>
      <c r="D174" s="52">
        <v>45</v>
      </c>
    </row>
    <row r="175" spans="1:4">
      <c r="A175" s="53">
        <f t="shared" si="39"/>
        <v>174</v>
      </c>
      <c r="B175" s="54">
        <v>45637</v>
      </c>
      <c r="C175" s="55" t="s">
        <v>26</v>
      </c>
      <c r="D175" s="56">
        <v>75</v>
      </c>
    </row>
    <row r="176" spans="1:4">
      <c r="A176" s="50">
        <f t="shared" ref="A176:A178" si="40">IF(B176="","",ROW(A175))</f>
        <v>175</v>
      </c>
      <c r="B176" s="51">
        <v>45638</v>
      </c>
      <c r="C176" s="1" t="s">
        <v>45</v>
      </c>
      <c r="D176" s="52">
        <v>45</v>
      </c>
    </row>
    <row r="177" spans="1:4">
      <c r="A177" s="50">
        <f t="shared" si="40"/>
        <v>176</v>
      </c>
      <c r="B177" s="51">
        <v>45638</v>
      </c>
      <c r="C177" s="1" t="s">
        <v>26</v>
      </c>
      <c r="D177" s="52">
        <v>75</v>
      </c>
    </row>
    <row r="178" spans="1:4">
      <c r="A178" s="53">
        <f t="shared" si="40"/>
        <v>177</v>
      </c>
      <c r="B178" s="54">
        <v>45638</v>
      </c>
      <c r="C178" s="55" t="s">
        <v>23</v>
      </c>
      <c r="D178" s="56">
        <v>27</v>
      </c>
    </row>
    <row r="179" spans="1:4">
      <c r="A179" s="50">
        <f t="shared" ref="A179:A181" si="41">IF(B179="","",ROW(A178))</f>
        <v>178</v>
      </c>
      <c r="B179" s="51">
        <v>45639</v>
      </c>
      <c r="C179" s="1" t="s">
        <v>26</v>
      </c>
      <c r="D179" s="52">
        <v>75</v>
      </c>
    </row>
    <row r="180" spans="1:4">
      <c r="A180" s="50">
        <f t="shared" si="41"/>
        <v>179</v>
      </c>
      <c r="B180" s="51">
        <v>45639</v>
      </c>
      <c r="C180" s="1" t="s">
        <v>23</v>
      </c>
      <c r="D180" s="52">
        <v>27</v>
      </c>
    </row>
    <row r="181" spans="1:4">
      <c r="A181" s="53">
        <f t="shared" si="41"/>
        <v>180</v>
      </c>
      <c r="B181" s="54">
        <v>45639</v>
      </c>
      <c r="C181" s="55" t="s">
        <v>45</v>
      </c>
      <c r="D181" s="56">
        <v>45</v>
      </c>
    </row>
    <row r="182" spans="1:4">
      <c r="A182" s="50">
        <f t="shared" ref="A182:A184" si="42">IF(B182="","",ROW(A181))</f>
        <v>181</v>
      </c>
      <c r="B182" s="51">
        <v>45640</v>
      </c>
      <c r="C182" s="1" t="s">
        <v>23</v>
      </c>
      <c r="D182" s="52">
        <v>29</v>
      </c>
    </row>
    <row r="183" spans="1:4">
      <c r="A183" s="50">
        <f t="shared" si="42"/>
        <v>182</v>
      </c>
      <c r="B183" s="51">
        <v>45640</v>
      </c>
      <c r="C183" s="1" t="s">
        <v>26</v>
      </c>
      <c r="D183" s="52">
        <v>75</v>
      </c>
    </row>
    <row r="184" spans="1:4">
      <c r="A184" s="53">
        <f t="shared" si="42"/>
        <v>183</v>
      </c>
      <c r="B184" s="54">
        <v>45640</v>
      </c>
      <c r="C184" s="55" t="s">
        <v>45</v>
      </c>
      <c r="D184" s="56">
        <v>44</v>
      </c>
    </row>
    <row r="185" spans="1:4">
      <c r="A185" s="50">
        <f t="shared" ref="A185:A187" si="43">IF(B185="","",ROW(A184))</f>
        <v>184</v>
      </c>
      <c r="B185" s="51">
        <v>45641</v>
      </c>
      <c r="C185" s="1" t="s">
        <v>26</v>
      </c>
      <c r="D185" s="52">
        <v>75</v>
      </c>
    </row>
    <row r="186" spans="1:4">
      <c r="A186" s="50">
        <f t="shared" si="43"/>
        <v>185</v>
      </c>
      <c r="B186" s="51">
        <v>45641</v>
      </c>
      <c r="C186" s="1" t="s">
        <v>23</v>
      </c>
      <c r="D186" s="52">
        <v>29</v>
      </c>
    </row>
    <row r="187" spans="1:4">
      <c r="A187" s="53">
        <f t="shared" si="43"/>
        <v>186</v>
      </c>
      <c r="B187" s="54">
        <v>45641</v>
      </c>
      <c r="C187" s="55" t="s">
        <v>45</v>
      </c>
      <c r="D187" s="56">
        <v>44</v>
      </c>
    </row>
    <row r="188" spans="1:4">
      <c r="A188" s="50">
        <f t="shared" ref="A188:A190" si="44">IF(B188="","",ROW(A187))</f>
        <v>187</v>
      </c>
      <c r="B188" s="51">
        <v>45642</v>
      </c>
      <c r="C188" s="1" t="s">
        <v>45</v>
      </c>
      <c r="D188" s="52">
        <v>35</v>
      </c>
    </row>
    <row r="189" spans="1:4">
      <c r="A189" s="50">
        <f t="shared" si="44"/>
        <v>188</v>
      </c>
      <c r="B189" s="51">
        <v>45642</v>
      </c>
      <c r="C189" s="1" t="s">
        <v>23</v>
      </c>
      <c r="D189" s="52">
        <v>27</v>
      </c>
    </row>
    <row r="190" spans="1:4">
      <c r="A190" s="53">
        <f t="shared" si="44"/>
        <v>189</v>
      </c>
      <c r="B190" s="54">
        <v>45642</v>
      </c>
      <c r="C190" s="55" t="s">
        <v>26</v>
      </c>
      <c r="D190" s="56">
        <v>89</v>
      </c>
    </row>
    <row r="191" spans="1:4">
      <c r="A191" s="50">
        <f t="shared" ref="A191:A193" si="45">IF(B191="","",ROW(A190))</f>
        <v>190</v>
      </c>
      <c r="B191" s="51">
        <v>45643</v>
      </c>
      <c r="C191" s="1" t="s">
        <v>23</v>
      </c>
      <c r="D191" s="52">
        <v>27</v>
      </c>
    </row>
    <row r="192" spans="1:4">
      <c r="A192" s="50">
        <f t="shared" si="45"/>
        <v>191</v>
      </c>
      <c r="B192" s="51">
        <v>45643</v>
      </c>
      <c r="C192" s="1" t="s">
        <v>45</v>
      </c>
      <c r="D192" s="52">
        <v>35</v>
      </c>
    </row>
    <row r="193" spans="1:4">
      <c r="A193" s="53">
        <f t="shared" si="45"/>
        <v>192</v>
      </c>
      <c r="B193" s="54">
        <v>45643</v>
      </c>
      <c r="C193" s="55" t="s">
        <v>26</v>
      </c>
      <c r="D193" s="56">
        <v>89</v>
      </c>
    </row>
    <row r="194" spans="1:4">
      <c r="A194" s="50">
        <f t="shared" ref="A194:A196" si="46">IF(B194="","",ROW(A193))</f>
        <v>193</v>
      </c>
      <c r="B194" s="51">
        <v>45644</v>
      </c>
      <c r="C194" s="1" t="s">
        <v>23</v>
      </c>
      <c r="D194" s="52">
        <v>27</v>
      </c>
    </row>
    <row r="195" spans="1:4">
      <c r="A195" s="50">
        <f t="shared" si="46"/>
        <v>194</v>
      </c>
      <c r="B195" s="51">
        <v>45644</v>
      </c>
      <c r="C195" s="1" t="s">
        <v>26</v>
      </c>
      <c r="D195" s="52">
        <v>89</v>
      </c>
    </row>
    <row r="196" spans="1:4">
      <c r="A196" s="53">
        <f t="shared" si="46"/>
        <v>195</v>
      </c>
      <c r="B196" s="54">
        <v>45644</v>
      </c>
      <c r="C196" s="55" t="s">
        <v>45</v>
      </c>
      <c r="D196" s="56">
        <v>35</v>
      </c>
    </row>
    <row r="197" spans="1:4">
      <c r="A197" s="50">
        <f t="shared" ref="A197:A199" si="47">IF(B197="","",ROW(A196))</f>
        <v>196</v>
      </c>
      <c r="B197" s="51">
        <v>45645</v>
      </c>
      <c r="C197" s="1" t="s">
        <v>23</v>
      </c>
      <c r="D197" s="52">
        <v>29</v>
      </c>
    </row>
    <row r="198" spans="1:4">
      <c r="A198" s="50">
        <f t="shared" si="47"/>
        <v>197</v>
      </c>
      <c r="B198" s="51">
        <v>45645</v>
      </c>
      <c r="C198" s="1" t="s">
        <v>26</v>
      </c>
      <c r="D198" s="52">
        <v>89</v>
      </c>
    </row>
    <row r="199" spans="1:4">
      <c r="A199" s="53">
        <f t="shared" si="47"/>
        <v>198</v>
      </c>
      <c r="B199" s="54">
        <v>45645</v>
      </c>
      <c r="C199" s="55" t="s">
        <v>45</v>
      </c>
      <c r="D199" s="56">
        <v>34</v>
      </c>
    </row>
    <row r="200" spans="1:4">
      <c r="A200" s="50">
        <f t="shared" ref="A200:A202" si="48">IF(B200="","",ROW(A199))</f>
        <v>199</v>
      </c>
      <c r="B200" s="51">
        <v>45646</v>
      </c>
      <c r="C200" s="1" t="s">
        <v>45</v>
      </c>
      <c r="D200" s="52">
        <v>34</v>
      </c>
    </row>
    <row r="201" spans="1:4">
      <c r="A201" s="50">
        <f t="shared" si="48"/>
        <v>200</v>
      </c>
      <c r="B201" s="51">
        <v>45646</v>
      </c>
      <c r="C201" s="1" t="s">
        <v>23</v>
      </c>
      <c r="D201" s="52">
        <v>29</v>
      </c>
    </row>
    <row r="202" spans="1:4">
      <c r="A202" s="53">
        <f t="shared" si="48"/>
        <v>201</v>
      </c>
      <c r="B202" s="54">
        <v>45646</v>
      </c>
      <c r="C202" s="55" t="s">
        <v>26</v>
      </c>
      <c r="D202" s="56">
        <v>89</v>
      </c>
    </row>
    <row r="203" spans="1:4">
      <c r="A203" s="50">
        <f t="shared" ref="A203:A205" si="49">IF(B203="","",ROW(A202))</f>
        <v>202</v>
      </c>
      <c r="B203" s="51">
        <v>45647</v>
      </c>
      <c r="C203" s="1" t="s">
        <v>26</v>
      </c>
      <c r="D203" s="52">
        <v>89</v>
      </c>
    </row>
    <row r="204" spans="1:4">
      <c r="A204" s="50">
        <f t="shared" si="49"/>
        <v>203</v>
      </c>
      <c r="B204" s="51">
        <v>45647</v>
      </c>
      <c r="C204" s="1" t="s">
        <v>45</v>
      </c>
      <c r="D204" s="52">
        <v>34</v>
      </c>
    </row>
    <row r="205" spans="1:4">
      <c r="A205" s="53">
        <f t="shared" si="49"/>
        <v>204</v>
      </c>
      <c r="B205" s="54">
        <v>45647</v>
      </c>
      <c r="C205" s="55" t="s">
        <v>23</v>
      </c>
      <c r="D205" s="56">
        <v>29</v>
      </c>
    </row>
    <row r="206" spans="1:4">
      <c r="A206" s="50">
        <f t="shared" ref="A206:A208" si="50">IF(B206="","",ROW(A205))</f>
        <v>205</v>
      </c>
      <c r="B206" s="51">
        <v>45648</v>
      </c>
      <c r="C206" s="1" t="s">
        <v>23</v>
      </c>
      <c r="D206" s="52">
        <v>29</v>
      </c>
    </row>
    <row r="207" spans="1:4">
      <c r="A207" s="50">
        <f t="shared" si="50"/>
        <v>206</v>
      </c>
      <c r="B207" s="51">
        <v>45648</v>
      </c>
      <c r="C207" s="1" t="s">
        <v>26</v>
      </c>
      <c r="D207" s="52">
        <v>89</v>
      </c>
    </row>
    <row r="208" spans="1:4">
      <c r="A208" s="53">
        <f t="shared" si="50"/>
        <v>207</v>
      </c>
      <c r="B208" s="54">
        <v>45648</v>
      </c>
      <c r="C208" s="55" t="s">
        <v>45</v>
      </c>
      <c r="D208" s="56">
        <v>34</v>
      </c>
    </row>
    <row r="209" spans="1:4">
      <c r="A209" s="50">
        <f t="shared" ref="A209:A211" si="51">IF(B209="","",ROW(A208))</f>
        <v>208</v>
      </c>
      <c r="B209" s="51">
        <v>45649</v>
      </c>
      <c r="C209" s="1" t="s">
        <v>26</v>
      </c>
      <c r="D209" s="52">
        <v>89</v>
      </c>
    </row>
    <row r="210" spans="1:4">
      <c r="A210" s="50">
        <f t="shared" si="51"/>
        <v>209</v>
      </c>
      <c r="B210" s="51">
        <v>45649</v>
      </c>
      <c r="C210" s="1" t="s">
        <v>23</v>
      </c>
      <c r="D210" s="52">
        <v>29</v>
      </c>
    </row>
    <row r="211" spans="1:4">
      <c r="A211" s="53">
        <f t="shared" si="51"/>
        <v>210</v>
      </c>
      <c r="B211" s="54">
        <v>45649</v>
      </c>
      <c r="C211" s="55" t="s">
        <v>45</v>
      </c>
      <c r="D211" s="56">
        <v>34</v>
      </c>
    </row>
    <row r="212" spans="1:4">
      <c r="A212" s="50">
        <f>IF(B212="","",ROW(A211))</f>
        <v>211</v>
      </c>
      <c r="B212" s="51">
        <v>45650</v>
      </c>
      <c r="C212" s="1" t="s">
        <v>45</v>
      </c>
      <c r="D212" s="52">
        <v>34</v>
      </c>
    </row>
    <row r="213" spans="1:4">
      <c r="A213" s="50">
        <f>IF(B213="","",ROW(A212))</f>
        <v>212</v>
      </c>
      <c r="B213" s="51">
        <v>45650</v>
      </c>
      <c r="C213" s="1" t="s">
        <v>26</v>
      </c>
      <c r="D213" s="52">
        <v>89</v>
      </c>
    </row>
    <row r="214" spans="1:4">
      <c r="A214" s="53">
        <f>IF(B214="","",ROW(A213))</f>
        <v>213</v>
      </c>
      <c r="B214" s="54">
        <v>45650</v>
      </c>
      <c r="C214" s="55" t="s">
        <v>23</v>
      </c>
      <c r="D214" s="56">
        <v>29</v>
      </c>
    </row>
    <row r="215" spans="1:4">
      <c r="A215" s="50">
        <f t="shared" ref="A215:A217" si="52">IF(B215="","",ROW(A214))</f>
        <v>214</v>
      </c>
      <c r="B215" s="51">
        <v>45651</v>
      </c>
      <c r="C215" s="1" t="s">
        <v>23</v>
      </c>
      <c r="D215" s="52">
        <v>29</v>
      </c>
    </row>
    <row r="216" spans="1:4">
      <c r="A216" s="50">
        <f t="shared" si="52"/>
        <v>215</v>
      </c>
      <c r="B216" s="51">
        <v>45651</v>
      </c>
      <c r="C216" s="1" t="s">
        <v>45</v>
      </c>
      <c r="D216" s="52">
        <v>34</v>
      </c>
    </row>
    <row r="217" spans="1:4">
      <c r="A217" s="53">
        <f t="shared" si="52"/>
        <v>216</v>
      </c>
      <c r="B217" s="54">
        <v>45651</v>
      </c>
      <c r="C217" s="55" t="s">
        <v>26</v>
      </c>
      <c r="D217" s="56">
        <v>91</v>
      </c>
    </row>
    <row r="218" spans="1:4">
      <c r="A218" s="50">
        <f t="shared" ref="A218:A219" si="53">IF(B218="","",ROW(A217))</f>
        <v>217</v>
      </c>
      <c r="B218" s="51">
        <v>45652</v>
      </c>
      <c r="C218" s="1" t="s">
        <v>23</v>
      </c>
      <c r="D218" s="52">
        <v>29</v>
      </c>
    </row>
    <row r="219" spans="1:4">
      <c r="A219" s="53">
        <f t="shared" si="53"/>
        <v>218</v>
      </c>
      <c r="B219" s="54">
        <v>45652</v>
      </c>
      <c r="C219" s="55" t="s">
        <v>45</v>
      </c>
      <c r="D219" s="56">
        <v>34</v>
      </c>
    </row>
    <row r="220" spans="1:4">
      <c r="A220" s="53">
        <f>IF(B220="","",ROW(A219))</f>
        <v>219</v>
      </c>
      <c r="B220" s="54">
        <v>45652</v>
      </c>
      <c r="C220" s="55" t="s">
        <v>26</v>
      </c>
      <c r="D220" s="56">
        <v>91</v>
      </c>
    </row>
    <row r="221" spans="1:4">
      <c r="A221" s="50">
        <f t="shared" ref="A221:A223" si="54">IF(B221="","",ROW(A220))</f>
        <v>220</v>
      </c>
      <c r="B221" s="51">
        <v>45653</v>
      </c>
      <c r="C221" s="1" t="s">
        <v>45</v>
      </c>
      <c r="D221" s="52">
        <v>34</v>
      </c>
    </row>
    <row r="222" spans="1:4">
      <c r="A222" s="50">
        <f t="shared" si="54"/>
        <v>221</v>
      </c>
      <c r="B222" s="51">
        <v>45653</v>
      </c>
      <c r="C222" s="1" t="s">
        <v>23</v>
      </c>
      <c r="D222" s="52">
        <v>29</v>
      </c>
    </row>
    <row r="223" spans="1:4">
      <c r="A223" s="53">
        <f t="shared" si="54"/>
        <v>222</v>
      </c>
      <c r="B223" s="54">
        <v>45653</v>
      </c>
      <c r="C223" s="55" t="s">
        <v>26</v>
      </c>
      <c r="D223" s="56">
        <v>91</v>
      </c>
    </row>
    <row r="224" spans="1:4">
      <c r="A224" s="50">
        <f t="shared" ref="A224:A226" si="55">IF(B224="","",ROW(A223))</f>
        <v>223</v>
      </c>
      <c r="B224" s="51">
        <v>45654</v>
      </c>
      <c r="C224" s="1" t="s">
        <v>45</v>
      </c>
      <c r="D224" s="52">
        <v>34</v>
      </c>
    </row>
    <row r="225" spans="1:4">
      <c r="A225" s="50">
        <f t="shared" si="55"/>
        <v>224</v>
      </c>
      <c r="B225" s="51">
        <v>45654</v>
      </c>
      <c r="C225" s="1" t="s">
        <v>26</v>
      </c>
      <c r="D225" s="52">
        <v>91</v>
      </c>
    </row>
    <row r="226" spans="1:4">
      <c r="A226" s="53">
        <f t="shared" si="55"/>
        <v>225</v>
      </c>
      <c r="B226" s="54">
        <v>45654</v>
      </c>
      <c r="C226" s="55" t="s">
        <v>23</v>
      </c>
      <c r="D226" s="56">
        <v>29</v>
      </c>
    </row>
    <row r="227" spans="1:4">
      <c r="A227" s="50">
        <f t="shared" ref="A227:A229" si="56">IF(B227="","",ROW(A226))</f>
        <v>226</v>
      </c>
      <c r="B227" s="51">
        <v>45655</v>
      </c>
      <c r="C227" s="1" t="s">
        <v>23</v>
      </c>
      <c r="D227" s="52">
        <v>29</v>
      </c>
    </row>
    <row r="228" spans="1:4">
      <c r="A228" s="50">
        <f t="shared" si="56"/>
        <v>227</v>
      </c>
      <c r="B228" s="51">
        <v>45655</v>
      </c>
      <c r="C228" s="1" t="s">
        <v>26</v>
      </c>
      <c r="D228" s="52">
        <v>91</v>
      </c>
    </row>
    <row r="229" spans="1:4">
      <c r="A229" s="53">
        <f t="shared" si="56"/>
        <v>228</v>
      </c>
      <c r="B229" s="54">
        <v>45655</v>
      </c>
      <c r="C229" s="55" t="s">
        <v>45</v>
      </c>
      <c r="D229" s="56">
        <v>34</v>
      </c>
    </row>
    <row r="230" spans="1:4">
      <c r="A230" s="50">
        <f t="shared" ref="A230:A232" si="57">IF(B230="","",ROW(A229))</f>
        <v>229</v>
      </c>
      <c r="B230" s="51">
        <v>45656</v>
      </c>
      <c r="C230" s="1" t="s">
        <v>45</v>
      </c>
      <c r="D230" s="52">
        <v>34</v>
      </c>
    </row>
    <row r="231" spans="1:4">
      <c r="A231" s="50">
        <f t="shared" si="57"/>
        <v>230</v>
      </c>
      <c r="B231" s="51">
        <v>45656</v>
      </c>
      <c r="C231" s="1" t="s">
        <v>26</v>
      </c>
      <c r="D231" s="52">
        <v>91</v>
      </c>
    </row>
    <row r="232" spans="1:4">
      <c r="A232" s="53">
        <f t="shared" si="57"/>
        <v>231</v>
      </c>
      <c r="B232" s="54">
        <v>45656</v>
      </c>
      <c r="C232" s="55" t="s">
        <v>23</v>
      </c>
      <c r="D232" s="56">
        <v>29</v>
      </c>
    </row>
    <row r="233" spans="1:4">
      <c r="A233" s="50">
        <f t="shared" ref="A233:A235" si="58">IF(B233="","",ROW(A232))</f>
        <v>232</v>
      </c>
      <c r="B233" s="51">
        <v>45657</v>
      </c>
      <c r="C233" s="1" t="s">
        <v>23</v>
      </c>
      <c r="D233" s="52">
        <v>29</v>
      </c>
    </row>
    <row r="234" spans="1:4">
      <c r="A234" s="50">
        <f t="shared" si="58"/>
        <v>233</v>
      </c>
      <c r="B234" s="51">
        <v>45657</v>
      </c>
      <c r="C234" s="1" t="s">
        <v>45</v>
      </c>
      <c r="D234" s="52">
        <v>34</v>
      </c>
    </row>
    <row r="235" spans="1:4">
      <c r="A235" s="53">
        <f t="shared" si="58"/>
        <v>234</v>
      </c>
      <c r="B235" s="54">
        <v>45657</v>
      </c>
      <c r="C235" s="55" t="s">
        <v>26</v>
      </c>
      <c r="D235" s="56">
        <v>91</v>
      </c>
    </row>
    <row r="236" spans="1:4">
      <c r="A236" s="50">
        <f t="shared" ref="A236:A238" si="59">IF(B236="","",ROW(A235))</f>
        <v>235</v>
      </c>
      <c r="B236" s="51">
        <v>45658</v>
      </c>
      <c r="C236" s="1" t="s">
        <v>45</v>
      </c>
      <c r="D236" s="52">
        <v>34</v>
      </c>
    </row>
    <row r="237" spans="1:4">
      <c r="A237" s="50">
        <f t="shared" si="59"/>
        <v>236</v>
      </c>
      <c r="B237" s="51">
        <v>45658</v>
      </c>
      <c r="C237" s="1" t="s">
        <v>26</v>
      </c>
      <c r="D237" s="52">
        <v>91</v>
      </c>
    </row>
    <row r="238" spans="1:4">
      <c r="A238" s="53">
        <f t="shared" si="59"/>
        <v>237</v>
      </c>
      <c r="B238" s="54">
        <v>45658</v>
      </c>
      <c r="C238" s="55" t="s">
        <v>23</v>
      </c>
      <c r="D238" s="56">
        <v>29</v>
      </c>
    </row>
    <row r="239" spans="1:4">
      <c r="A239" s="50">
        <f t="shared" ref="A239:A241" si="60">IF(B239="","",ROW(A238))</f>
        <v>238</v>
      </c>
      <c r="B239" s="51">
        <v>45659</v>
      </c>
      <c r="C239" s="1" t="s">
        <v>45</v>
      </c>
      <c r="D239" s="52">
        <v>34</v>
      </c>
    </row>
    <row r="240" spans="1:4">
      <c r="A240" s="50">
        <f t="shared" si="60"/>
        <v>239</v>
      </c>
      <c r="B240" s="51">
        <v>45659</v>
      </c>
      <c r="C240" s="1" t="s">
        <v>26</v>
      </c>
      <c r="D240" s="52">
        <v>91</v>
      </c>
    </row>
    <row r="241" spans="1:4">
      <c r="A241" s="53">
        <f t="shared" si="60"/>
        <v>240</v>
      </c>
      <c r="B241" s="54">
        <v>45659</v>
      </c>
      <c r="C241" s="55" t="s">
        <v>23</v>
      </c>
      <c r="D241" s="56">
        <v>29</v>
      </c>
    </row>
    <row r="242" spans="1:4">
      <c r="A242" s="50">
        <f t="shared" ref="A242:A244" si="61">IF(B242="","",ROW(A241))</f>
        <v>241</v>
      </c>
      <c r="B242" s="51">
        <v>45660</v>
      </c>
      <c r="C242" s="1" t="s">
        <v>45</v>
      </c>
      <c r="D242" s="52">
        <v>34</v>
      </c>
    </row>
    <row r="243" spans="1:4">
      <c r="A243" s="50">
        <f t="shared" si="61"/>
        <v>242</v>
      </c>
      <c r="B243" s="51">
        <v>45660</v>
      </c>
      <c r="C243" s="1" t="s">
        <v>23</v>
      </c>
      <c r="D243" s="52">
        <v>30</v>
      </c>
    </row>
    <row r="244" spans="1:4">
      <c r="A244" s="53">
        <f t="shared" si="61"/>
        <v>243</v>
      </c>
      <c r="B244" s="54">
        <v>45660</v>
      </c>
      <c r="C244" s="55" t="s">
        <v>26</v>
      </c>
      <c r="D244" s="56">
        <v>91</v>
      </c>
    </row>
    <row r="245" spans="1:4">
      <c r="A245" s="50">
        <f t="shared" ref="A245:A247" si="62">IF(B245="","",ROW(A244))</f>
        <v>244</v>
      </c>
      <c r="B245" s="51">
        <v>45661</v>
      </c>
      <c r="C245" s="1" t="s">
        <v>26</v>
      </c>
      <c r="D245" s="52">
        <v>91</v>
      </c>
    </row>
    <row r="246" spans="1:4">
      <c r="A246" s="50">
        <f t="shared" si="62"/>
        <v>245</v>
      </c>
      <c r="B246" s="51">
        <v>45661</v>
      </c>
      <c r="C246" s="1" t="s">
        <v>23</v>
      </c>
      <c r="D246" s="52">
        <v>30</v>
      </c>
    </row>
    <row r="247" spans="1:4">
      <c r="A247" s="53">
        <f t="shared" si="62"/>
        <v>246</v>
      </c>
      <c r="B247" s="54">
        <v>45661</v>
      </c>
      <c r="C247" s="55" t="s">
        <v>45</v>
      </c>
      <c r="D247" s="56">
        <v>34</v>
      </c>
    </row>
    <row r="248" spans="1:4">
      <c r="A248" s="50">
        <f t="shared" ref="A248:A250" si="63">IF(B248="","",ROW(A247))</f>
        <v>247</v>
      </c>
      <c r="B248" s="51">
        <v>45662</v>
      </c>
      <c r="C248" s="1" t="s">
        <v>23</v>
      </c>
      <c r="D248" s="52">
        <v>30</v>
      </c>
    </row>
    <row r="249" spans="1:4">
      <c r="A249" s="50">
        <f t="shared" si="63"/>
        <v>248</v>
      </c>
      <c r="B249" s="51">
        <v>45662</v>
      </c>
      <c r="C249" s="1" t="s">
        <v>26</v>
      </c>
      <c r="D249" s="52">
        <v>91</v>
      </c>
    </row>
    <row r="250" spans="1:4">
      <c r="A250" s="53">
        <f t="shared" si="63"/>
        <v>249</v>
      </c>
      <c r="B250" s="54">
        <v>45662</v>
      </c>
      <c r="C250" s="55" t="s">
        <v>45</v>
      </c>
      <c r="D250" s="56">
        <v>34</v>
      </c>
    </row>
    <row r="251" spans="1:4">
      <c r="A251" s="50">
        <f>IF(B251="","",ROW(A250))</f>
        <v>250</v>
      </c>
      <c r="B251" s="51">
        <v>45663</v>
      </c>
      <c r="C251" s="1" t="s">
        <v>23</v>
      </c>
      <c r="D251" s="52">
        <v>30</v>
      </c>
    </row>
    <row r="252" spans="1:4">
      <c r="A252" s="50">
        <f>IF(B252="","",ROW(A251))</f>
        <v>251</v>
      </c>
      <c r="B252" s="51">
        <v>45663</v>
      </c>
      <c r="C252" s="1" t="s">
        <v>26</v>
      </c>
      <c r="D252" s="52">
        <v>92</v>
      </c>
    </row>
    <row r="253" spans="1:4">
      <c r="A253" s="53">
        <f>IF(B253="","",ROW(A252))</f>
        <v>252</v>
      </c>
      <c r="B253" s="54">
        <v>45663</v>
      </c>
      <c r="C253" s="55" t="s">
        <v>45</v>
      </c>
      <c r="D253" s="56">
        <v>34</v>
      </c>
    </row>
    <row r="254" spans="1:4">
      <c r="A254" s="50">
        <f t="shared" ref="A254:A256" si="64">IF(B254="","",ROW(A253))</f>
        <v>253</v>
      </c>
      <c r="B254" s="51">
        <v>45664</v>
      </c>
      <c r="C254" s="1" t="s">
        <v>45</v>
      </c>
      <c r="D254" s="52">
        <v>35</v>
      </c>
    </row>
    <row r="255" spans="1:4">
      <c r="A255" s="50">
        <f t="shared" si="64"/>
        <v>254</v>
      </c>
      <c r="B255" s="51">
        <v>45664</v>
      </c>
      <c r="C255" s="1" t="s">
        <v>26</v>
      </c>
      <c r="D255" s="52">
        <v>91</v>
      </c>
    </row>
    <row r="256" spans="1:4">
      <c r="A256" s="53">
        <f t="shared" si="64"/>
        <v>255</v>
      </c>
      <c r="B256" s="54">
        <v>45664</v>
      </c>
      <c r="C256" s="55" t="s">
        <v>23</v>
      </c>
      <c r="D256" s="56">
        <v>30</v>
      </c>
    </row>
    <row r="257" spans="1:4">
      <c r="A257" s="50">
        <f t="shared" ref="A257:A259" si="65">IF(B257="","",ROW(A256))</f>
        <v>256</v>
      </c>
      <c r="B257" s="51">
        <v>45665</v>
      </c>
      <c r="C257" s="1" t="s">
        <v>26</v>
      </c>
      <c r="D257" s="52">
        <v>91</v>
      </c>
    </row>
    <row r="258" spans="1:4">
      <c r="A258" s="50">
        <f t="shared" si="65"/>
        <v>257</v>
      </c>
      <c r="B258" s="51">
        <v>45665</v>
      </c>
      <c r="C258" s="1" t="s">
        <v>45</v>
      </c>
      <c r="D258" s="52">
        <v>35</v>
      </c>
    </row>
    <row r="259" spans="1:4">
      <c r="A259" s="53">
        <f t="shared" si="65"/>
        <v>258</v>
      </c>
      <c r="B259" s="54">
        <v>45665</v>
      </c>
      <c r="C259" s="55" t="s">
        <v>23</v>
      </c>
      <c r="D259" s="56">
        <v>30</v>
      </c>
    </row>
    <row r="260" spans="1:4">
      <c r="A260" s="50">
        <f t="shared" ref="A260:A262" si="66">IF(B260="","",ROW(A259))</f>
        <v>259</v>
      </c>
      <c r="B260" s="51">
        <v>45666</v>
      </c>
      <c r="C260" s="1" t="s">
        <v>26</v>
      </c>
      <c r="D260" s="52">
        <v>91</v>
      </c>
    </row>
    <row r="261" spans="1:4">
      <c r="A261" s="50">
        <f t="shared" si="66"/>
        <v>260</v>
      </c>
      <c r="B261" s="51">
        <v>45666</v>
      </c>
      <c r="C261" s="1" t="s">
        <v>23</v>
      </c>
      <c r="D261" s="52">
        <v>36</v>
      </c>
    </row>
    <row r="262" spans="1:4">
      <c r="A262" s="53">
        <f t="shared" si="66"/>
        <v>261</v>
      </c>
      <c r="B262" s="54">
        <v>45666</v>
      </c>
      <c r="C262" s="55" t="s">
        <v>45</v>
      </c>
      <c r="D262" s="56">
        <v>29</v>
      </c>
    </row>
    <row r="263" spans="1:4">
      <c r="A263" s="50">
        <f t="shared" ref="A263:A265" si="67">IF(B263="","",ROW(A262))</f>
        <v>262</v>
      </c>
      <c r="B263" s="51">
        <v>45667</v>
      </c>
      <c r="C263" s="1" t="s">
        <v>45</v>
      </c>
      <c r="D263" s="52">
        <v>29</v>
      </c>
    </row>
    <row r="264" spans="1:4">
      <c r="A264" s="50">
        <f t="shared" si="67"/>
        <v>263</v>
      </c>
      <c r="B264" s="51">
        <v>45667</v>
      </c>
      <c r="C264" s="1" t="s">
        <v>23</v>
      </c>
      <c r="D264" s="52">
        <v>44</v>
      </c>
    </row>
    <row r="265" spans="1:4">
      <c r="A265" s="53">
        <f t="shared" si="67"/>
        <v>264</v>
      </c>
      <c r="B265" s="54">
        <v>45667</v>
      </c>
      <c r="C265" s="55" t="s">
        <v>26</v>
      </c>
      <c r="D265" s="56">
        <v>83</v>
      </c>
    </row>
    <row r="266" spans="1:4">
      <c r="A266" s="50">
        <f t="shared" ref="A266:A268" si="68">IF(B266="","",ROW(A265))</f>
        <v>265</v>
      </c>
      <c r="B266" s="51">
        <v>45668</v>
      </c>
      <c r="C266" s="1" t="s">
        <v>26</v>
      </c>
      <c r="D266" s="52">
        <v>81</v>
      </c>
    </row>
    <row r="267" spans="1:4">
      <c r="A267" s="50">
        <f t="shared" si="68"/>
        <v>266</v>
      </c>
      <c r="B267" s="51">
        <v>45668</v>
      </c>
      <c r="C267" s="1" t="s">
        <v>45</v>
      </c>
      <c r="D267" s="52">
        <v>29</v>
      </c>
    </row>
    <row r="268" spans="1:4">
      <c r="A268" s="53">
        <f t="shared" si="68"/>
        <v>267</v>
      </c>
      <c r="B268" s="54">
        <v>45668</v>
      </c>
      <c r="C268" s="55" t="s">
        <v>23</v>
      </c>
      <c r="D268" s="56">
        <v>46</v>
      </c>
    </row>
    <row r="269" spans="1:4">
      <c r="A269" s="50">
        <f t="shared" ref="A269:A271" si="69">IF(B269="","",ROW(A268))</f>
        <v>268</v>
      </c>
      <c r="B269" s="51">
        <v>45669</v>
      </c>
      <c r="C269" s="1" t="s">
        <v>23</v>
      </c>
      <c r="D269" s="52">
        <v>46</v>
      </c>
    </row>
    <row r="270" spans="1:4">
      <c r="A270" s="50">
        <f t="shared" si="69"/>
        <v>269</v>
      </c>
      <c r="B270" s="51">
        <v>45669</v>
      </c>
      <c r="C270" s="1" t="s">
        <v>26</v>
      </c>
      <c r="D270" s="52">
        <v>81</v>
      </c>
    </row>
    <row r="271" spans="1:4">
      <c r="A271" s="53">
        <f t="shared" si="69"/>
        <v>270</v>
      </c>
      <c r="B271" s="54">
        <v>45669</v>
      </c>
      <c r="C271" s="55" t="s">
        <v>45</v>
      </c>
      <c r="D271" s="56">
        <v>29</v>
      </c>
    </row>
    <row r="272" spans="1:4">
      <c r="A272" s="50">
        <f t="shared" ref="A272:A274" si="70">IF(B272="","",ROW(A271))</f>
        <v>271</v>
      </c>
      <c r="B272" s="51">
        <v>45670</v>
      </c>
      <c r="C272" s="1" t="s">
        <v>26</v>
      </c>
      <c r="D272" s="52">
        <v>81</v>
      </c>
    </row>
    <row r="273" spans="1:4">
      <c r="A273" s="50">
        <f t="shared" si="70"/>
        <v>272</v>
      </c>
      <c r="B273" s="51">
        <v>45670</v>
      </c>
      <c r="C273" s="1" t="s">
        <v>23</v>
      </c>
      <c r="D273" s="52">
        <v>46</v>
      </c>
    </row>
    <row r="274" spans="1:4">
      <c r="A274" s="53">
        <f t="shared" si="70"/>
        <v>273</v>
      </c>
      <c r="B274" s="54">
        <v>45670</v>
      </c>
      <c r="C274" s="55" t="s">
        <v>45</v>
      </c>
      <c r="D274" s="56">
        <v>29</v>
      </c>
    </row>
    <row r="275" spans="1:4">
      <c r="A275" s="50">
        <f t="shared" ref="A275:A277" si="71">IF(B275="","",ROW(A274))</f>
        <v>274</v>
      </c>
      <c r="B275" s="51">
        <v>45671</v>
      </c>
      <c r="C275" s="1" t="s">
        <v>23</v>
      </c>
      <c r="D275" s="52">
        <v>46</v>
      </c>
    </row>
    <row r="276" spans="1:4">
      <c r="A276" s="50">
        <f t="shared" si="71"/>
        <v>275</v>
      </c>
      <c r="B276" s="51">
        <v>45671</v>
      </c>
      <c r="C276" s="1" t="s">
        <v>45</v>
      </c>
      <c r="D276" s="52">
        <v>29</v>
      </c>
    </row>
    <row r="277" spans="1:4">
      <c r="A277" s="53">
        <f t="shared" si="71"/>
        <v>276</v>
      </c>
      <c r="B277" s="54">
        <v>45671</v>
      </c>
      <c r="C277" s="55" t="s">
        <v>26</v>
      </c>
      <c r="D277" s="56">
        <v>81</v>
      </c>
    </row>
    <row r="278" spans="1:4">
      <c r="A278" s="50">
        <f>IF(B278="","",ROW(A277))</f>
        <v>277</v>
      </c>
      <c r="B278" s="51">
        <v>45672</v>
      </c>
      <c r="C278" s="1" t="s">
        <v>26</v>
      </c>
      <c r="D278" s="52">
        <v>81</v>
      </c>
    </row>
    <row r="279" spans="1:4">
      <c r="A279" s="50">
        <f>IF(B279="","",ROW(A278))</f>
        <v>278</v>
      </c>
      <c r="B279" s="51">
        <v>45672</v>
      </c>
      <c r="C279" s="1" t="s">
        <v>23</v>
      </c>
      <c r="D279" s="52">
        <v>46</v>
      </c>
    </row>
    <row r="280" spans="1:4">
      <c r="A280" s="53">
        <f>IF(B280="","",ROW(A279))</f>
        <v>279</v>
      </c>
      <c r="B280" s="54">
        <v>45672</v>
      </c>
      <c r="C280" s="55" t="s">
        <v>45</v>
      </c>
      <c r="D280" s="56">
        <v>29</v>
      </c>
    </row>
    <row r="281" spans="1:4">
      <c r="A281" s="50">
        <f t="shared" ref="A281:A283" si="72">IF(B281="","",ROW(A280))</f>
        <v>280</v>
      </c>
      <c r="B281" s="51">
        <v>45673</v>
      </c>
      <c r="C281" s="1" t="s">
        <v>45</v>
      </c>
      <c r="D281" s="52">
        <v>28</v>
      </c>
    </row>
    <row r="282" spans="1:4">
      <c r="A282" s="50">
        <f t="shared" si="72"/>
        <v>281</v>
      </c>
      <c r="B282" s="51">
        <v>45673</v>
      </c>
      <c r="C282" s="1" t="s">
        <v>23</v>
      </c>
      <c r="D282" s="52">
        <v>60</v>
      </c>
    </row>
    <row r="283" spans="1:4">
      <c r="A283" s="53">
        <f t="shared" si="72"/>
        <v>282</v>
      </c>
      <c r="B283" s="54">
        <v>45673</v>
      </c>
      <c r="C283" s="55" t="s">
        <v>26</v>
      </c>
      <c r="D283" s="56">
        <v>77</v>
      </c>
    </row>
    <row r="284" spans="1:4">
      <c r="A284" s="50">
        <f t="shared" ref="A284:A286" si="73">IF(B284="","",ROW(A283))</f>
        <v>283</v>
      </c>
      <c r="B284" s="51">
        <v>45674</v>
      </c>
      <c r="C284" s="1" t="s">
        <v>45</v>
      </c>
      <c r="D284" s="52">
        <v>28</v>
      </c>
    </row>
    <row r="285" spans="1:4">
      <c r="A285" s="50">
        <f t="shared" si="73"/>
        <v>284</v>
      </c>
      <c r="B285" s="51">
        <v>45674</v>
      </c>
      <c r="C285" s="1" t="s">
        <v>23</v>
      </c>
      <c r="D285" s="52">
        <v>60</v>
      </c>
    </row>
    <row r="286" spans="1:4">
      <c r="A286" s="53">
        <f t="shared" si="73"/>
        <v>285</v>
      </c>
      <c r="B286" s="54">
        <v>45674</v>
      </c>
      <c r="C286" s="55" t="s">
        <v>26</v>
      </c>
      <c r="D286" s="56">
        <v>78</v>
      </c>
    </row>
    <row r="287" spans="1:4">
      <c r="A287" s="50">
        <f t="shared" ref="A287:A289" si="74">IF(B287="","",ROW(A286))</f>
        <v>286</v>
      </c>
      <c r="B287" s="51">
        <v>45675</v>
      </c>
      <c r="C287" s="1" t="s">
        <v>26</v>
      </c>
      <c r="D287" s="52">
        <v>78</v>
      </c>
    </row>
    <row r="288" spans="1:4">
      <c r="A288" s="50">
        <f t="shared" si="74"/>
        <v>287</v>
      </c>
      <c r="B288" s="51">
        <v>45675</v>
      </c>
      <c r="C288" s="1" t="s">
        <v>23</v>
      </c>
      <c r="D288" s="52">
        <v>60</v>
      </c>
    </row>
    <row r="289" spans="1:4">
      <c r="A289" s="53">
        <f t="shared" si="74"/>
        <v>288</v>
      </c>
      <c r="B289" s="54">
        <v>45675</v>
      </c>
      <c r="C289" s="55" t="s">
        <v>45</v>
      </c>
      <c r="D289" s="56">
        <v>28</v>
      </c>
    </row>
    <row r="290" spans="1:4">
      <c r="A290" s="50">
        <f t="shared" ref="A290:A292" si="75">IF(B290="","",ROW(A289))</f>
        <v>289</v>
      </c>
      <c r="B290" s="51">
        <v>45676</v>
      </c>
      <c r="C290" s="1" t="s">
        <v>26</v>
      </c>
      <c r="D290" s="52">
        <v>78</v>
      </c>
    </row>
    <row r="291" spans="1:4">
      <c r="A291" s="50">
        <f t="shared" si="75"/>
        <v>290</v>
      </c>
      <c r="B291" s="51">
        <v>45676</v>
      </c>
      <c r="C291" s="1" t="s">
        <v>23</v>
      </c>
      <c r="D291" s="52">
        <v>60</v>
      </c>
    </row>
    <row r="292" spans="1:4">
      <c r="A292" s="53">
        <f t="shared" si="75"/>
        <v>291</v>
      </c>
      <c r="B292" s="54">
        <v>45676</v>
      </c>
      <c r="C292" s="55" t="s">
        <v>45</v>
      </c>
      <c r="D292" s="56">
        <v>28</v>
      </c>
    </row>
    <row r="293" spans="1:4">
      <c r="A293" s="50">
        <f t="shared" ref="A293:A295" si="76">IF(B293="","",ROW(A292))</f>
        <v>292</v>
      </c>
      <c r="B293" s="51">
        <v>45677</v>
      </c>
      <c r="C293" s="1" t="s">
        <v>26</v>
      </c>
      <c r="D293" s="52">
        <v>78</v>
      </c>
    </row>
    <row r="294" spans="1:4">
      <c r="A294" s="50">
        <f t="shared" si="76"/>
        <v>293</v>
      </c>
      <c r="B294" s="51">
        <v>45677</v>
      </c>
      <c r="C294" s="1" t="s">
        <v>45</v>
      </c>
      <c r="D294" s="52">
        <v>28</v>
      </c>
    </row>
    <row r="295" spans="1:4">
      <c r="A295" s="53">
        <f t="shared" si="76"/>
        <v>294</v>
      </c>
      <c r="B295" s="54">
        <v>45677</v>
      </c>
      <c r="C295" s="55" t="s">
        <v>23</v>
      </c>
      <c r="D295" s="56">
        <v>60</v>
      </c>
    </row>
    <row r="296" spans="1:4">
      <c r="A296" s="50">
        <f t="shared" ref="A296:A298" si="77">IF(B296="","",ROW(A295))</f>
        <v>295</v>
      </c>
      <c r="B296" s="51">
        <v>45678</v>
      </c>
      <c r="C296" s="1" t="s">
        <v>26</v>
      </c>
      <c r="D296" s="52">
        <v>78</v>
      </c>
    </row>
    <row r="297" spans="1:4">
      <c r="A297" s="50">
        <f t="shared" si="77"/>
        <v>296</v>
      </c>
      <c r="B297" s="51">
        <v>45678</v>
      </c>
      <c r="C297" s="1" t="s">
        <v>23</v>
      </c>
      <c r="D297" s="52">
        <v>60</v>
      </c>
    </row>
    <row r="298" spans="1:4">
      <c r="A298" s="53">
        <f t="shared" si="77"/>
        <v>297</v>
      </c>
      <c r="B298" s="54">
        <v>45678</v>
      </c>
      <c r="C298" s="55" t="s">
        <v>45</v>
      </c>
      <c r="D298" s="56">
        <v>28</v>
      </c>
    </row>
    <row r="299" spans="1:4">
      <c r="A299" s="50">
        <f t="shared" ref="A299:A300" si="78">IF(B299="","",ROW(A298))</f>
        <v>298</v>
      </c>
      <c r="B299" s="51">
        <v>45679</v>
      </c>
      <c r="C299" s="1" t="s">
        <v>23</v>
      </c>
      <c r="D299" s="52">
        <v>60</v>
      </c>
    </row>
    <row r="300" spans="1:4">
      <c r="A300" s="53">
        <f t="shared" si="78"/>
        <v>299</v>
      </c>
      <c r="B300" s="54">
        <v>45679</v>
      </c>
      <c r="C300" s="55" t="s">
        <v>45</v>
      </c>
      <c r="D300" s="56">
        <v>28</v>
      </c>
    </row>
    <row r="301" spans="1:4">
      <c r="A301" s="53">
        <f>IF(B301="","",ROW(A300))</f>
        <v>300</v>
      </c>
      <c r="B301" s="54">
        <v>45679</v>
      </c>
      <c r="C301" s="55" t="s">
        <v>26</v>
      </c>
      <c r="D301" s="56">
        <v>78</v>
      </c>
    </row>
    <row r="302" spans="1:4">
      <c r="A302" s="50">
        <f t="shared" ref="A302:A304" si="79">IF(B302="","",ROW(A301))</f>
        <v>301</v>
      </c>
      <c r="B302" s="51">
        <v>45680</v>
      </c>
      <c r="C302" s="1" t="s">
        <v>23</v>
      </c>
      <c r="D302" s="52">
        <v>60</v>
      </c>
    </row>
    <row r="303" spans="1:4">
      <c r="A303" s="50">
        <f t="shared" si="79"/>
        <v>302</v>
      </c>
      <c r="B303" s="51">
        <v>45680</v>
      </c>
      <c r="C303" s="1" t="s">
        <v>26</v>
      </c>
      <c r="D303" s="52">
        <v>79</v>
      </c>
    </row>
    <row r="304" spans="1:4">
      <c r="A304" s="53">
        <f t="shared" si="79"/>
        <v>303</v>
      </c>
      <c r="B304" s="54">
        <v>45680</v>
      </c>
      <c r="C304" s="55" t="s">
        <v>45</v>
      </c>
      <c r="D304" s="56">
        <v>28</v>
      </c>
    </row>
    <row r="305" spans="1:4">
      <c r="A305" s="50">
        <f t="shared" ref="A305:A307" si="80">IF(B305="","",ROW(A304))</f>
        <v>304</v>
      </c>
      <c r="B305" s="51">
        <v>45681</v>
      </c>
      <c r="C305" s="1" t="s">
        <v>23</v>
      </c>
      <c r="D305" s="52">
        <v>60</v>
      </c>
    </row>
    <row r="306" spans="1:4">
      <c r="A306" s="50">
        <f t="shared" si="80"/>
        <v>305</v>
      </c>
      <c r="B306" s="51">
        <v>45681</v>
      </c>
      <c r="C306" s="1" t="s">
        <v>26</v>
      </c>
      <c r="D306" s="52">
        <v>79</v>
      </c>
    </row>
    <row r="307" spans="1:4">
      <c r="A307" s="53">
        <f t="shared" si="80"/>
        <v>306</v>
      </c>
      <c r="B307" s="54">
        <v>45681</v>
      </c>
      <c r="C307" s="55" t="s">
        <v>45</v>
      </c>
      <c r="D307" s="56">
        <v>28</v>
      </c>
    </row>
    <row r="308" spans="1:4">
      <c r="A308" s="50">
        <f t="shared" ref="A308:A310" si="81">IF(B308="","",ROW(A307))</f>
        <v>307</v>
      </c>
      <c r="B308" s="51">
        <v>45682</v>
      </c>
      <c r="C308" s="1" t="s">
        <v>45</v>
      </c>
      <c r="D308" s="52">
        <v>28</v>
      </c>
    </row>
    <row r="309" spans="1:4">
      <c r="A309" s="50">
        <f t="shared" si="81"/>
        <v>308</v>
      </c>
      <c r="B309" s="51">
        <v>45682</v>
      </c>
      <c r="C309" s="1" t="s">
        <v>23</v>
      </c>
      <c r="D309" s="52">
        <v>60</v>
      </c>
    </row>
    <row r="310" spans="1:4">
      <c r="A310" s="53">
        <f t="shared" si="81"/>
        <v>309</v>
      </c>
      <c r="B310" s="54">
        <v>45682</v>
      </c>
      <c r="C310" s="55" t="s">
        <v>26</v>
      </c>
      <c r="D310" s="56">
        <v>79</v>
      </c>
    </row>
    <row r="311" spans="1:4">
      <c r="A311" s="50">
        <f t="shared" ref="A311:A313" si="82">IF(B311="","",ROW(A310))</f>
        <v>310</v>
      </c>
      <c r="B311" s="51">
        <v>45683</v>
      </c>
      <c r="C311" s="1" t="s">
        <v>23</v>
      </c>
      <c r="D311" s="52">
        <v>60</v>
      </c>
    </row>
    <row r="312" spans="1:4">
      <c r="A312" s="50">
        <f t="shared" si="82"/>
        <v>311</v>
      </c>
      <c r="B312" s="51">
        <v>45683</v>
      </c>
      <c r="C312" s="1" t="s">
        <v>45</v>
      </c>
      <c r="D312" s="52">
        <v>28</v>
      </c>
    </row>
    <row r="313" spans="1:4">
      <c r="A313" s="53">
        <f t="shared" si="82"/>
        <v>312</v>
      </c>
      <c r="B313" s="54">
        <v>45683</v>
      </c>
      <c r="C313" s="55" t="s">
        <v>26</v>
      </c>
      <c r="D313" s="56">
        <v>79</v>
      </c>
    </row>
    <row r="314" spans="1:4">
      <c r="A314" s="50">
        <f t="shared" ref="A314:A316" si="83">IF(B314="","",ROW(A313))</f>
        <v>313</v>
      </c>
      <c r="B314" s="51">
        <v>45684</v>
      </c>
      <c r="C314" s="1" t="s">
        <v>23</v>
      </c>
      <c r="D314" s="52">
        <v>60</v>
      </c>
    </row>
    <row r="315" spans="1:4">
      <c r="A315" s="50">
        <f t="shared" si="83"/>
        <v>314</v>
      </c>
      <c r="B315" s="51">
        <v>45684</v>
      </c>
      <c r="C315" s="1" t="s">
        <v>45</v>
      </c>
      <c r="D315" s="52">
        <v>28</v>
      </c>
    </row>
    <row r="316" spans="1:4">
      <c r="A316" s="53">
        <f t="shared" si="83"/>
        <v>315</v>
      </c>
      <c r="B316" s="54">
        <v>45684</v>
      </c>
      <c r="C316" s="55" t="s">
        <v>26</v>
      </c>
      <c r="D316" s="56">
        <v>79</v>
      </c>
    </row>
    <row r="317" spans="1:4">
      <c r="A317" s="50">
        <f t="shared" ref="A317:A319" si="84">IF(B317="","",ROW(A316))</f>
        <v>316</v>
      </c>
      <c r="B317" s="51">
        <v>45685</v>
      </c>
      <c r="C317" s="1" t="s">
        <v>45</v>
      </c>
      <c r="D317" s="52">
        <v>28</v>
      </c>
    </row>
    <row r="318" spans="1:4">
      <c r="A318" s="50">
        <f t="shared" si="84"/>
        <v>317</v>
      </c>
      <c r="B318" s="51">
        <v>45685</v>
      </c>
      <c r="C318" s="1" t="s">
        <v>26</v>
      </c>
      <c r="D318" s="52">
        <v>74</v>
      </c>
    </row>
    <row r="319" spans="1:4">
      <c r="A319" s="53">
        <f t="shared" si="84"/>
        <v>318</v>
      </c>
      <c r="B319" s="54">
        <v>45685</v>
      </c>
      <c r="C319" s="55" t="s">
        <v>23</v>
      </c>
      <c r="D319" s="56">
        <v>66</v>
      </c>
    </row>
    <row r="320" spans="1:4">
      <c r="A320" s="50">
        <f t="shared" ref="A320:A322" si="85">IF(B320="","",ROW(A319))</f>
        <v>319</v>
      </c>
      <c r="B320" s="51">
        <v>45686</v>
      </c>
      <c r="C320" s="1" t="s">
        <v>26</v>
      </c>
      <c r="D320" s="52">
        <v>53</v>
      </c>
    </row>
    <row r="321" spans="1:4">
      <c r="A321" s="50">
        <f t="shared" si="85"/>
        <v>320</v>
      </c>
      <c r="B321" s="51">
        <v>45686</v>
      </c>
      <c r="C321" s="1" t="s">
        <v>45</v>
      </c>
      <c r="D321" s="52">
        <v>28</v>
      </c>
    </row>
    <row r="322" spans="1:4">
      <c r="A322" s="53">
        <f t="shared" si="85"/>
        <v>321</v>
      </c>
      <c r="B322" s="54">
        <v>45686</v>
      </c>
      <c r="C322" s="55" t="s">
        <v>23</v>
      </c>
      <c r="D322" s="56">
        <v>79</v>
      </c>
    </row>
    <row r="323" spans="1:4">
      <c r="A323" s="50">
        <f t="shared" ref="A323:A325" si="86">IF(B323="","",ROW(A322))</f>
        <v>322</v>
      </c>
      <c r="B323" s="51">
        <v>45687</v>
      </c>
      <c r="C323" s="1" t="s">
        <v>26</v>
      </c>
      <c r="D323" s="52">
        <v>50</v>
      </c>
    </row>
    <row r="324" spans="1:4">
      <c r="A324" s="50">
        <f t="shared" si="86"/>
        <v>323</v>
      </c>
      <c r="B324" s="51">
        <v>45687</v>
      </c>
      <c r="C324" s="1" t="s">
        <v>23</v>
      </c>
      <c r="D324" s="52">
        <v>85</v>
      </c>
    </row>
    <row r="325" spans="1:4">
      <c r="A325" s="53">
        <f t="shared" si="86"/>
        <v>324</v>
      </c>
      <c r="B325" s="54">
        <v>45687</v>
      </c>
      <c r="C325" s="55" t="s">
        <v>45</v>
      </c>
      <c r="D325" s="56">
        <v>30</v>
      </c>
    </row>
    <row r="326" spans="1:4">
      <c r="A326" s="50">
        <f t="shared" ref="A326:A328" si="87">IF(B326="","",ROW(A325))</f>
        <v>325</v>
      </c>
      <c r="B326" s="51">
        <v>45688</v>
      </c>
      <c r="C326" s="1" t="s">
        <v>26</v>
      </c>
      <c r="D326" s="52">
        <v>50</v>
      </c>
    </row>
    <row r="327" spans="1:4">
      <c r="A327" s="50">
        <f t="shared" si="87"/>
        <v>326</v>
      </c>
      <c r="B327" s="51">
        <v>45688</v>
      </c>
      <c r="C327" s="1" t="s">
        <v>45</v>
      </c>
      <c r="D327" s="52">
        <v>30</v>
      </c>
    </row>
    <row r="328" spans="1:4">
      <c r="A328" s="53">
        <f t="shared" si="87"/>
        <v>327</v>
      </c>
      <c r="B328" s="54">
        <v>45688</v>
      </c>
      <c r="C328" s="55" t="s">
        <v>23</v>
      </c>
      <c r="D328" s="56">
        <v>85</v>
      </c>
    </row>
    <row r="329" spans="1:4">
      <c r="A329" s="50">
        <f t="shared" ref="A329:A331" si="88">IF(B329="","",ROW(A328))</f>
        <v>328</v>
      </c>
      <c r="B329" s="51">
        <v>45689</v>
      </c>
      <c r="C329" s="1" t="s">
        <v>26</v>
      </c>
      <c r="D329" s="52">
        <v>50</v>
      </c>
    </row>
    <row r="330" spans="1:4">
      <c r="A330" s="50">
        <f t="shared" si="88"/>
        <v>329</v>
      </c>
      <c r="B330" s="51">
        <v>45689</v>
      </c>
      <c r="C330" s="1" t="s">
        <v>23</v>
      </c>
      <c r="D330" s="52">
        <v>85</v>
      </c>
    </row>
    <row r="331" spans="1:4">
      <c r="A331" s="53">
        <f t="shared" si="88"/>
        <v>330</v>
      </c>
      <c r="B331" s="54">
        <v>45689</v>
      </c>
      <c r="C331" s="55" t="s">
        <v>45</v>
      </c>
      <c r="D331" s="56">
        <v>30</v>
      </c>
    </row>
    <row r="332" spans="1:4">
      <c r="A332" s="50">
        <f t="shared" ref="A332:A334" si="89">IF(B332="","",ROW(A331))</f>
        <v>331</v>
      </c>
      <c r="B332" s="51">
        <v>45690</v>
      </c>
      <c r="C332" s="1" t="s">
        <v>26</v>
      </c>
      <c r="D332" s="52">
        <v>50</v>
      </c>
    </row>
    <row r="333" spans="1:4">
      <c r="A333" s="50">
        <f t="shared" si="89"/>
        <v>332</v>
      </c>
      <c r="B333" s="51">
        <v>45690</v>
      </c>
      <c r="C333" s="1" t="s">
        <v>23</v>
      </c>
      <c r="D333" s="52">
        <v>85</v>
      </c>
    </row>
    <row r="334" spans="1:4">
      <c r="A334" s="53">
        <f t="shared" si="89"/>
        <v>333</v>
      </c>
      <c r="B334" s="54">
        <v>45690</v>
      </c>
      <c r="C334" s="55" t="s">
        <v>45</v>
      </c>
      <c r="D334" s="56">
        <v>30</v>
      </c>
    </row>
    <row r="335" spans="1:4">
      <c r="A335" s="50">
        <f t="shared" ref="A335:A337" si="90">IF(B335="","",ROW(A334))</f>
        <v>334</v>
      </c>
      <c r="B335" s="51">
        <v>45691</v>
      </c>
      <c r="C335" s="1" t="s">
        <v>45</v>
      </c>
      <c r="D335" s="52">
        <v>30</v>
      </c>
    </row>
    <row r="336" spans="1:4">
      <c r="A336" s="50">
        <f t="shared" si="90"/>
        <v>335</v>
      </c>
      <c r="B336" s="51">
        <v>45691</v>
      </c>
      <c r="C336" s="1" t="s">
        <v>23</v>
      </c>
      <c r="D336" s="52">
        <v>85</v>
      </c>
    </row>
    <row r="337" spans="1:4">
      <c r="A337" s="53">
        <f t="shared" si="90"/>
        <v>336</v>
      </c>
      <c r="B337" s="54">
        <v>45691</v>
      </c>
      <c r="C337" s="55" t="s">
        <v>26</v>
      </c>
      <c r="D337" s="56">
        <v>50</v>
      </c>
    </row>
    <row r="338" spans="1:4">
      <c r="A338" s="50">
        <f t="shared" ref="A338:A340" si="91">IF(B338="","",ROW(A337))</f>
        <v>337</v>
      </c>
      <c r="B338" s="51">
        <v>45692</v>
      </c>
      <c r="C338" s="1" t="s">
        <v>23</v>
      </c>
      <c r="D338" s="52">
        <v>85</v>
      </c>
    </row>
    <row r="339" spans="1:4">
      <c r="A339" s="50">
        <f t="shared" si="91"/>
        <v>338</v>
      </c>
      <c r="B339" s="51">
        <v>45692</v>
      </c>
      <c r="C339" s="1" t="s">
        <v>26</v>
      </c>
      <c r="D339" s="52">
        <v>50</v>
      </c>
    </row>
    <row r="340" spans="1:4">
      <c r="A340" s="53">
        <f t="shared" si="91"/>
        <v>339</v>
      </c>
      <c r="B340" s="54">
        <v>45692</v>
      </c>
      <c r="C340" s="55" t="s">
        <v>45</v>
      </c>
      <c r="D340" s="56">
        <v>30</v>
      </c>
    </row>
    <row r="341" spans="1:4">
      <c r="A341" s="50">
        <f t="shared" ref="A341:A343" si="92">IF(B341="","",ROW(A340))</f>
        <v>340</v>
      </c>
      <c r="B341" s="51">
        <v>45693</v>
      </c>
      <c r="C341" s="1" t="s">
        <v>23</v>
      </c>
      <c r="D341" s="52">
        <v>85</v>
      </c>
    </row>
    <row r="342" spans="1:4">
      <c r="A342" s="50">
        <f t="shared" si="92"/>
        <v>341</v>
      </c>
      <c r="B342" s="51">
        <v>45693</v>
      </c>
      <c r="C342" s="1" t="s">
        <v>45</v>
      </c>
      <c r="D342" s="52">
        <v>30</v>
      </c>
    </row>
    <row r="343" spans="1:4">
      <c r="A343" s="53">
        <f t="shared" si="92"/>
        <v>342</v>
      </c>
      <c r="B343" s="54">
        <v>45693</v>
      </c>
      <c r="C343" s="55" t="s">
        <v>26</v>
      </c>
      <c r="D343" s="56">
        <v>50</v>
      </c>
    </row>
    <row r="344" spans="1:4">
      <c r="A344" s="50">
        <f t="shared" ref="A344:A346" si="93">IF(B344="","",ROW(A343))</f>
        <v>343</v>
      </c>
      <c r="B344" s="51">
        <v>45694</v>
      </c>
      <c r="C344" s="1" t="s">
        <v>26</v>
      </c>
      <c r="D344" s="52">
        <v>50</v>
      </c>
    </row>
    <row r="345" spans="1:4">
      <c r="A345" s="50">
        <f t="shared" si="93"/>
        <v>344</v>
      </c>
      <c r="B345" s="51">
        <v>45694</v>
      </c>
      <c r="C345" s="1" t="s">
        <v>45</v>
      </c>
      <c r="D345" s="52">
        <v>30</v>
      </c>
    </row>
    <row r="346" spans="1:4">
      <c r="A346" s="53">
        <f t="shared" si="93"/>
        <v>345</v>
      </c>
      <c r="B346" s="54">
        <v>45694</v>
      </c>
      <c r="C346" s="55" t="s">
        <v>23</v>
      </c>
      <c r="D346" s="56">
        <v>85</v>
      </c>
    </row>
    <row r="347" spans="1:4">
      <c r="A347" s="50">
        <f>IF(B347="","",ROW(A346))</f>
        <v>346</v>
      </c>
      <c r="B347" s="51">
        <v>45695</v>
      </c>
      <c r="C347" s="1" t="s">
        <v>26</v>
      </c>
      <c r="D347" s="52">
        <v>58</v>
      </c>
    </row>
    <row r="348" spans="1:4">
      <c r="A348" s="50">
        <f>IF(B348="","",ROW(A347))</f>
        <v>347</v>
      </c>
      <c r="B348" s="51">
        <v>45695</v>
      </c>
      <c r="C348" s="1" t="s">
        <v>45</v>
      </c>
      <c r="D348" s="52">
        <v>25</v>
      </c>
    </row>
    <row r="349" spans="1:4">
      <c r="A349" s="53">
        <f>IF(B349="","",ROW(A348))</f>
        <v>348</v>
      </c>
      <c r="B349" s="54">
        <v>45695</v>
      </c>
      <c r="C349" s="55" t="s">
        <v>23</v>
      </c>
      <c r="D349" s="56">
        <v>91</v>
      </c>
    </row>
    <row r="350" spans="1:4">
      <c r="A350" s="50">
        <f t="shared" ref="A350:A352" si="94">IF(B350="","",ROW(A349))</f>
        <v>349</v>
      </c>
      <c r="B350" s="51">
        <v>45696</v>
      </c>
      <c r="C350" s="1" t="s">
        <v>45</v>
      </c>
      <c r="D350" s="52">
        <v>22</v>
      </c>
    </row>
    <row r="351" spans="1:4">
      <c r="A351" s="50">
        <f t="shared" si="94"/>
        <v>350</v>
      </c>
      <c r="B351" s="51">
        <v>45696</v>
      </c>
      <c r="C351" s="1" t="s">
        <v>23</v>
      </c>
      <c r="D351" s="52">
        <v>92</v>
      </c>
    </row>
    <row r="352" spans="1:4">
      <c r="A352" s="53">
        <f t="shared" si="94"/>
        <v>351</v>
      </c>
      <c r="B352" s="54">
        <v>45696</v>
      </c>
      <c r="C352" s="55" t="s">
        <v>26</v>
      </c>
      <c r="D352" s="56">
        <v>60</v>
      </c>
    </row>
    <row r="353" spans="1:4">
      <c r="A353" s="50">
        <f t="shared" ref="A353:A355" si="95">IF(B353="","",ROW(A352))</f>
        <v>352</v>
      </c>
      <c r="B353" s="51">
        <v>45697</v>
      </c>
      <c r="C353" s="1" t="s">
        <v>45</v>
      </c>
      <c r="D353" s="52">
        <v>22</v>
      </c>
    </row>
    <row r="354" spans="1:4">
      <c r="A354" s="50">
        <f t="shared" si="95"/>
        <v>353</v>
      </c>
      <c r="B354" s="51">
        <v>45697</v>
      </c>
      <c r="C354" s="1" t="s">
        <v>26</v>
      </c>
      <c r="D354" s="52">
        <v>60</v>
      </c>
    </row>
    <row r="355" spans="1:4">
      <c r="A355" s="53">
        <f t="shared" si="95"/>
        <v>354</v>
      </c>
      <c r="B355" s="54">
        <v>45697</v>
      </c>
      <c r="C355" s="55" t="s">
        <v>23</v>
      </c>
      <c r="D355" s="56">
        <v>92</v>
      </c>
    </row>
    <row r="356" spans="1:4">
      <c r="A356" s="50">
        <f t="shared" ref="A356:A358" si="96">IF(B356="","",ROW(A355))</f>
        <v>355</v>
      </c>
      <c r="B356" s="51">
        <v>45698</v>
      </c>
      <c r="C356" s="1" t="s">
        <v>26</v>
      </c>
      <c r="D356" s="52">
        <v>57</v>
      </c>
    </row>
    <row r="357" spans="1:4">
      <c r="A357" s="50">
        <f t="shared" si="96"/>
        <v>356</v>
      </c>
      <c r="B357" s="51">
        <v>45698</v>
      </c>
      <c r="C357" s="1" t="s">
        <v>23</v>
      </c>
      <c r="D357" s="52">
        <v>97</v>
      </c>
    </row>
    <row r="358" spans="1:4">
      <c r="A358" s="53">
        <f t="shared" si="96"/>
        <v>357</v>
      </c>
      <c r="B358" s="54">
        <v>45698</v>
      </c>
      <c r="C358" s="55" t="s">
        <v>45</v>
      </c>
      <c r="D358" s="56">
        <v>22</v>
      </c>
    </row>
    <row r="359" spans="1:4">
      <c r="A359" s="50">
        <f t="shared" ref="A359:A361" si="97">IF(B359="","",ROW(A358))</f>
        <v>358</v>
      </c>
      <c r="B359" s="51">
        <v>45699</v>
      </c>
      <c r="C359" s="1" t="s">
        <v>45</v>
      </c>
      <c r="D359" s="52">
        <v>22</v>
      </c>
    </row>
    <row r="360" spans="1:4">
      <c r="A360" s="50">
        <f t="shared" si="97"/>
        <v>359</v>
      </c>
      <c r="B360" s="51">
        <v>45699</v>
      </c>
      <c r="C360" s="1" t="s">
        <v>26</v>
      </c>
      <c r="D360" s="52">
        <v>57</v>
      </c>
    </row>
    <row r="361" spans="1:4">
      <c r="A361" s="53">
        <f t="shared" si="97"/>
        <v>360</v>
      </c>
      <c r="B361" s="54">
        <v>45699</v>
      </c>
      <c r="C361" s="55" t="s">
        <v>23</v>
      </c>
      <c r="D361" s="56">
        <v>97</v>
      </c>
    </row>
    <row r="362" spans="1:4">
      <c r="A362" s="50">
        <f t="shared" ref="A362:A364" si="98">IF(B362="","",ROW(A361))</f>
        <v>361</v>
      </c>
      <c r="B362" s="51">
        <v>45700</v>
      </c>
      <c r="C362" s="1" t="s">
        <v>23</v>
      </c>
      <c r="D362" s="52">
        <v>97</v>
      </c>
    </row>
    <row r="363" spans="1:4">
      <c r="A363" s="50">
        <f t="shared" si="98"/>
        <v>362</v>
      </c>
      <c r="B363" s="51">
        <v>45700</v>
      </c>
      <c r="C363" s="1" t="s">
        <v>26</v>
      </c>
      <c r="D363" s="52">
        <v>57</v>
      </c>
    </row>
    <row r="364" spans="1:4">
      <c r="A364" s="53">
        <f t="shared" si="98"/>
        <v>363</v>
      </c>
      <c r="B364" s="54">
        <v>45700</v>
      </c>
      <c r="C364" s="55" t="s">
        <v>45</v>
      </c>
      <c r="D364" s="56">
        <v>22</v>
      </c>
    </row>
    <row r="365" spans="1:4">
      <c r="A365" s="50">
        <f t="shared" ref="A365:A367" si="99">IF(B365="","",ROW(A364))</f>
        <v>364</v>
      </c>
      <c r="B365" s="51">
        <v>45701</v>
      </c>
      <c r="C365" s="1" t="s">
        <v>26</v>
      </c>
      <c r="D365" s="52">
        <v>57</v>
      </c>
    </row>
    <row r="366" spans="1:4">
      <c r="A366" s="50">
        <f t="shared" si="99"/>
        <v>365</v>
      </c>
      <c r="B366" s="51">
        <v>45701</v>
      </c>
      <c r="C366" s="1" t="s">
        <v>45</v>
      </c>
      <c r="D366" s="52">
        <v>22</v>
      </c>
    </row>
    <row r="367" spans="1:4">
      <c r="A367" s="53">
        <f t="shared" si="99"/>
        <v>366</v>
      </c>
      <c r="B367" s="54">
        <v>45701</v>
      </c>
      <c r="C367" s="55" t="s">
        <v>23</v>
      </c>
      <c r="D367" s="56">
        <v>97</v>
      </c>
    </row>
    <row r="368" spans="1:4">
      <c r="A368" s="50">
        <f t="shared" ref="A368:A370" si="100">IF(B368="","",ROW(A367))</f>
        <v>367</v>
      </c>
      <c r="B368" s="51">
        <v>45702</v>
      </c>
      <c r="C368" s="1" t="s">
        <v>23</v>
      </c>
      <c r="D368" s="52">
        <v>97</v>
      </c>
    </row>
    <row r="369" spans="1:4">
      <c r="A369" s="50">
        <f t="shared" si="100"/>
        <v>368</v>
      </c>
      <c r="B369" s="51">
        <v>45702</v>
      </c>
      <c r="C369" s="1" t="s">
        <v>26</v>
      </c>
      <c r="D369" s="52">
        <v>57</v>
      </c>
    </row>
    <row r="370" spans="1:4">
      <c r="A370" s="53">
        <f t="shared" si="100"/>
        <v>369</v>
      </c>
      <c r="B370" s="54">
        <v>45702</v>
      </c>
      <c r="C370" s="55" t="s">
        <v>45</v>
      </c>
      <c r="D370" s="56">
        <v>22</v>
      </c>
    </row>
    <row r="371" spans="1:4">
      <c r="A371" s="50">
        <f t="shared" ref="A371:A373" si="101">IF(B371="","",ROW(A370))</f>
        <v>370</v>
      </c>
      <c r="B371" s="51">
        <v>45703</v>
      </c>
      <c r="C371" s="1" t="s">
        <v>23</v>
      </c>
      <c r="D371" s="52">
        <v>97</v>
      </c>
    </row>
    <row r="372" spans="1:4">
      <c r="A372" s="50">
        <f t="shared" si="101"/>
        <v>371</v>
      </c>
      <c r="B372" s="51">
        <v>45703</v>
      </c>
      <c r="C372" s="1" t="s">
        <v>45</v>
      </c>
      <c r="D372" s="52">
        <v>22</v>
      </c>
    </row>
    <row r="373" spans="1:4">
      <c r="A373" s="53">
        <f t="shared" si="101"/>
        <v>372</v>
      </c>
      <c r="B373" s="54">
        <v>45703</v>
      </c>
      <c r="C373" s="55" t="s">
        <v>26</v>
      </c>
      <c r="D373" s="56">
        <v>57</v>
      </c>
    </row>
    <row r="374" spans="1:4">
      <c r="A374" s="50">
        <f t="shared" ref="A374:A376" si="102">IF(B374="","",ROW(A373))</f>
        <v>373</v>
      </c>
      <c r="B374" s="51">
        <v>45704</v>
      </c>
      <c r="C374" s="1" t="s">
        <v>23</v>
      </c>
      <c r="D374" s="52">
        <v>97</v>
      </c>
    </row>
    <row r="375" spans="1:4">
      <c r="A375" s="50">
        <f t="shared" si="102"/>
        <v>374</v>
      </c>
      <c r="B375" s="51">
        <v>45704</v>
      </c>
      <c r="C375" s="1" t="s">
        <v>45</v>
      </c>
      <c r="D375" s="52">
        <v>22</v>
      </c>
    </row>
    <row r="376" spans="1:4">
      <c r="A376" s="53">
        <f t="shared" si="102"/>
        <v>375</v>
      </c>
      <c r="B376" s="54">
        <v>45704</v>
      </c>
      <c r="C376" s="55" t="s">
        <v>26</v>
      </c>
      <c r="D376" s="56">
        <v>57</v>
      </c>
    </row>
    <row r="377" spans="1:4">
      <c r="A377" s="50">
        <f t="shared" ref="A377:A379" si="103">IF(B377="","",ROW(A376))</f>
        <v>376</v>
      </c>
      <c r="B377" s="51">
        <v>45705</v>
      </c>
      <c r="C377" s="1" t="s">
        <v>23</v>
      </c>
      <c r="D377" s="52">
        <v>97</v>
      </c>
    </row>
    <row r="378" spans="1:4">
      <c r="A378" s="50">
        <f t="shared" si="103"/>
        <v>377</v>
      </c>
      <c r="B378" s="51">
        <v>45705</v>
      </c>
      <c r="C378" s="1" t="s">
        <v>26</v>
      </c>
      <c r="D378" s="52">
        <v>57</v>
      </c>
    </row>
    <row r="379" spans="1:4">
      <c r="A379" s="53">
        <f t="shared" si="103"/>
        <v>378</v>
      </c>
      <c r="B379" s="54">
        <v>45705</v>
      </c>
      <c r="C379" s="55" t="s">
        <v>45</v>
      </c>
      <c r="D379" s="56">
        <v>22</v>
      </c>
    </row>
    <row r="380" spans="1:4">
      <c r="A380" s="50">
        <f t="shared" ref="A380:A382" si="104">IF(B380="","",ROW(A379))</f>
        <v>379</v>
      </c>
      <c r="B380" s="51">
        <v>45706</v>
      </c>
      <c r="C380" s="1" t="s">
        <v>26</v>
      </c>
      <c r="D380" s="52">
        <v>57</v>
      </c>
    </row>
    <row r="381" spans="1:4">
      <c r="A381" s="50">
        <f t="shared" si="104"/>
        <v>380</v>
      </c>
      <c r="B381" s="51">
        <v>45706</v>
      </c>
      <c r="C381" s="1" t="s">
        <v>45</v>
      </c>
      <c r="D381" s="52">
        <v>22</v>
      </c>
    </row>
    <row r="382" spans="1:4">
      <c r="A382" s="53">
        <f t="shared" si="104"/>
        <v>381</v>
      </c>
      <c r="B382" s="54">
        <v>45706</v>
      </c>
      <c r="C382" s="55" t="s">
        <v>23</v>
      </c>
      <c r="D382" s="56">
        <v>97</v>
      </c>
    </row>
    <row r="383" spans="1:4">
      <c r="A383" s="50">
        <f t="shared" ref="A383:A385" si="105">IF(B383="","",ROW(A382))</f>
        <v>382</v>
      </c>
      <c r="B383" s="51">
        <v>45707</v>
      </c>
      <c r="C383" s="1" t="s">
        <v>23</v>
      </c>
      <c r="D383" s="52">
        <v>97</v>
      </c>
    </row>
    <row r="384" spans="1:4">
      <c r="A384" s="50">
        <f t="shared" si="105"/>
        <v>383</v>
      </c>
      <c r="B384" s="51">
        <v>45707</v>
      </c>
      <c r="C384" s="1" t="s">
        <v>26</v>
      </c>
      <c r="D384" s="52">
        <v>57</v>
      </c>
    </row>
    <row r="385" spans="1:4">
      <c r="A385" s="53">
        <f t="shared" si="105"/>
        <v>384</v>
      </c>
      <c r="B385" s="54">
        <v>45707</v>
      </c>
      <c r="C385" s="55" t="s">
        <v>45</v>
      </c>
      <c r="D385" s="56">
        <v>22</v>
      </c>
    </row>
    <row r="386" spans="1:4">
      <c r="A386" s="50">
        <f t="shared" ref="A386:A388" si="106">IF(B386="","",ROW(A385))</f>
        <v>385</v>
      </c>
      <c r="B386" s="51">
        <v>45708</v>
      </c>
      <c r="C386" s="1" t="s">
        <v>45</v>
      </c>
      <c r="D386" s="52">
        <v>22</v>
      </c>
    </row>
    <row r="387" spans="1:4">
      <c r="A387" s="50">
        <f t="shared" si="106"/>
        <v>386</v>
      </c>
      <c r="B387" s="51">
        <v>45708</v>
      </c>
      <c r="C387" s="1" t="s">
        <v>26</v>
      </c>
      <c r="D387" s="52">
        <v>56</v>
      </c>
    </row>
    <row r="388" spans="1:4">
      <c r="A388" s="53">
        <f t="shared" si="106"/>
        <v>387</v>
      </c>
      <c r="B388" s="54">
        <v>45708</v>
      </c>
      <c r="C388" s="55" t="s">
        <v>23</v>
      </c>
      <c r="D388" s="56">
        <v>100</v>
      </c>
    </row>
    <row r="389" spans="1:4">
      <c r="A389" s="50">
        <f t="shared" ref="A389:A391" si="107">IF(B389="","",ROW(A388))</f>
        <v>388</v>
      </c>
      <c r="B389" s="51">
        <v>45709</v>
      </c>
      <c r="C389" s="1" t="s">
        <v>26</v>
      </c>
      <c r="D389" s="52">
        <v>56</v>
      </c>
    </row>
    <row r="390" spans="1:4">
      <c r="A390" s="50">
        <f t="shared" si="107"/>
        <v>389</v>
      </c>
      <c r="B390" s="51">
        <v>45709</v>
      </c>
      <c r="C390" s="1" t="s">
        <v>23</v>
      </c>
      <c r="D390" s="52">
        <v>100</v>
      </c>
    </row>
    <row r="391" spans="1:4">
      <c r="A391" s="53">
        <f t="shared" si="107"/>
        <v>390</v>
      </c>
      <c r="B391" s="54">
        <v>45709</v>
      </c>
      <c r="C391" s="55" t="s">
        <v>45</v>
      </c>
      <c r="D391" s="56">
        <v>22</v>
      </c>
    </row>
    <row r="392" spans="1:4">
      <c r="A392" s="50">
        <f t="shared" ref="A392:A394" si="108">IF(B392="","",ROW(A391))</f>
        <v>391</v>
      </c>
      <c r="B392" s="51">
        <v>45710</v>
      </c>
      <c r="C392" s="1" t="s">
        <v>45</v>
      </c>
      <c r="D392" s="52">
        <v>22</v>
      </c>
    </row>
    <row r="393" spans="1:4">
      <c r="A393" s="50">
        <f t="shared" si="108"/>
        <v>392</v>
      </c>
      <c r="B393" s="51">
        <v>45710</v>
      </c>
      <c r="C393" s="1" t="s">
        <v>26</v>
      </c>
      <c r="D393" s="52">
        <v>56</v>
      </c>
    </row>
    <row r="394" spans="1:4">
      <c r="A394" s="53">
        <f t="shared" si="108"/>
        <v>393</v>
      </c>
      <c r="B394" s="54">
        <v>45710</v>
      </c>
      <c r="C394" s="55" t="s">
        <v>23</v>
      </c>
      <c r="D394" s="56">
        <v>100</v>
      </c>
    </row>
    <row r="395" spans="1:4">
      <c r="A395" s="50">
        <f t="shared" ref="A395:A397" si="109">IF(B395="","",ROW(A394))</f>
        <v>394</v>
      </c>
      <c r="B395" s="51">
        <v>45711</v>
      </c>
      <c r="C395" s="1" t="s">
        <v>45</v>
      </c>
      <c r="D395" s="52">
        <v>22</v>
      </c>
    </row>
    <row r="396" spans="1:4">
      <c r="A396" s="50">
        <f t="shared" si="109"/>
        <v>395</v>
      </c>
      <c r="B396" s="51">
        <v>45711</v>
      </c>
      <c r="C396" s="1" t="s">
        <v>26</v>
      </c>
      <c r="D396" s="52">
        <v>56</v>
      </c>
    </row>
    <row r="397" spans="1:4">
      <c r="A397" s="53">
        <f t="shared" si="109"/>
        <v>396</v>
      </c>
      <c r="B397" s="54">
        <v>45711</v>
      </c>
      <c r="C397" s="55" t="s">
        <v>23</v>
      </c>
      <c r="D397" s="56">
        <v>100</v>
      </c>
    </row>
    <row r="398" spans="1:4">
      <c r="A398" s="50">
        <f t="shared" ref="A398:A400" si="110">IF(B398="","",ROW(A397))</f>
        <v>397</v>
      </c>
      <c r="B398" s="51">
        <v>45712</v>
      </c>
      <c r="C398" s="1" t="s">
        <v>26</v>
      </c>
      <c r="D398" s="52">
        <v>56</v>
      </c>
    </row>
    <row r="399" spans="1:4">
      <c r="A399" s="50">
        <f t="shared" si="110"/>
        <v>398</v>
      </c>
      <c r="B399" s="51">
        <v>45712</v>
      </c>
      <c r="C399" s="1" t="s">
        <v>23</v>
      </c>
      <c r="D399" s="52">
        <v>100</v>
      </c>
    </row>
    <row r="400" spans="1:4">
      <c r="A400" s="53">
        <f t="shared" si="110"/>
        <v>399</v>
      </c>
      <c r="B400" s="54">
        <v>45712</v>
      </c>
      <c r="C400" s="55" t="s">
        <v>45</v>
      </c>
      <c r="D400" s="56">
        <v>22</v>
      </c>
    </row>
    <row r="401" spans="1:4">
      <c r="A401" s="50">
        <f t="shared" ref="A401:A403" si="111">IF(B401="","",ROW(A400))</f>
        <v>400</v>
      </c>
      <c r="B401" s="51">
        <v>45713</v>
      </c>
      <c r="C401" s="1" t="s">
        <v>45</v>
      </c>
      <c r="D401" s="52">
        <v>22</v>
      </c>
    </row>
    <row r="402" spans="1:4">
      <c r="A402" s="50">
        <f t="shared" si="111"/>
        <v>401</v>
      </c>
      <c r="B402" s="51">
        <v>45713</v>
      </c>
      <c r="C402" s="1" t="s">
        <v>26</v>
      </c>
      <c r="D402" s="52">
        <v>56</v>
      </c>
    </row>
    <row r="403" spans="1:4">
      <c r="A403" s="53">
        <f t="shared" si="111"/>
        <v>402</v>
      </c>
      <c r="B403" s="54">
        <v>45713</v>
      </c>
      <c r="C403" s="55" t="s">
        <v>23</v>
      </c>
      <c r="D403" s="56">
        <v>100</v>
      </c>
    </row>
    <row r="404" spans="1:4">
      <c r="A404" s="50">
        <f t="shared" ref="A404:A406" si="112">IF(B404="","",ROW(A403))</f>
        <v>403</v>
      </c>
      <c r="B404" s="51">
        <v>45714</v>
      </c>
      <c r="C404" s="1" t="s">
        <v>23</v>
      </c>
      <c r="D404" s="52">
        <v>100</v>
      </c>
    </row>
    <row r="405" spans="1:4">
      <c r="A405" s="50">
        <f t="shared" si="112"/>
        <v>404</v>
      </c>
      <c r="B405" s="51">
        <v>45714</v>
      </c>
      <c r="C405" s="1" t="s">
        <v>45</v>
      </c>
      <c r="D405" s="52">
        <v>22</v>
      </c>
    </row>
    <row r="406" spans="1:4">
      <c r="A406" s="53">
        <f t="shared" si="112"/>
        <v>405</v>
      </c>
      <c r="B406" s="54">
        <v>45714</v>
      </c>
      <c r="C406" s="55" t="s">
        <v>26</v>
      </c>
      <c r="D406" s="56">
        <v>56</v>
      </c>
    </row>
    <row r="407" spans="1:4">
      <c r="A407" s="50">
        <f t="shared" ref="A407:A409" si="113">IF(B407="","",ROW(A406))</f>
        <v>406</v>
      </c>
      <c r="B407" s="51">
        <v>45715</v>
      </c>
      <c r="C407" s="1" t="s">
        <v>23</v>
      </c>
      <c r="D407" s="52">
        <v>100</v>
      </c>
    </row>
    <row r="408" spans="1:4">
      <c r="A408" s="50">
        <f t="shared" si="113"/>
        <v>407</v>
      </c>
      <c r="B408" s="51">
        <v>45715</v>
      </c>
      <c r="C408" s="1" t="s">
        <v>45</v>
      </c>
      <c r="D408" s="52">
        <v>22</v>
      </c>
    </row>
    <row r="409" spans="1:4">
      <c r="A409" s="53">
        <f t="shared" si="113"/>
        <v>408</v>
      </c>
      <c r="B409" s="54">
        <v>45715</v>
      </c>
      <c r="C409" s="55" t="s">
        <v>26</v>
      </c>
      <c r="D409" s="56">
        <v>56</v>
      </c>
    </row>
    <row r="410" spans="1:4">
      <c r="A410" s="50">
        <f t="shared" ref="A410:A412" si="114">IF(B410="","",ROW(A409))</f>
        <v>409</v>
      </c>
      <c r="B410" s="51">
        <v>45716</v>
      </c>
      <c r="C410" s="1" t="s">
        <v>45</v>
      </c>
      <c r="D410" s="52">
        <v>22</v>
      </c>
    </row>
    <row r="411" spans="1:4">
      <c r="A411" s="50">
        <f t="shared" si="114"/>
        <v>410</v>
      </c>
      <c r="B411" s="51">
        <v>45716</v>
      </c>
      <c r="C411" s="1" t="s">
        <v>23</v>
      </c>
      <c r="D411" s="52">
        <v>100</v>
      </c>
    </row>
    <row r="412" spans="1:4">
      <c r="A412" s="53">
        <f t="shared" si="114"/>
        <v>411</v>
      </c>
      <c r="B412" s="54">
        <v>45716</v>
      </c>
      <c r="C412" s="55" t="s">
        <v>26</v>
      </c>
      <c r="D412" s="56">
        <v>56</v>
      </c>
    </row>
    <row r="413" spans="1:4">
      <c r="A413" s="50">
        <f t="shared" ref="A413:A415" si="115">IF(B413="","",ROW(A412))</f>
        <v>412</v>
      </c>
      <c r="B413" s="51">
        <v>45717</v>
      </c>
      <c r="C413" s="1" t="s">
        <v>26</v>
      </c>
      <c r="D413" s="52">
        <v>56</v>
      </c>
    </row>
    <row r="414" spans="1:4">
      <c r="A414" s="50">
        <f t="shared" si="115"/>
        <v>413</v>
      </c>
      <c r="B414" s="51">
        <v>45717</v>
      </c>
      <c r="C414" s="1" t="s">
        <v>23</v>
      </c>
      <c r="D414" s="52">
        <v>100</v>
      </c>
    </row>
    <row r="415" spans="1:4">
      <c r="A415" s="53">
        <f t="shared" si="115"/>
        <v>414</v>
      </c>
      <c r="B415" s="54">
        <v>45717</v>
      </c>
      <c r="C415" s="55" t="s">
        <v>45</v>
      </c>
      <c r="D415" s="56">
        <v>22</v>
      </c>
    </row>
    <row r="416" spans="1:4">
      <c r="A416" s="50">
        <f t="shared" ref="A416:A418" si="116">IF(B416="","",ROW(A415))</f>
        <v>415</v>
      </c>
      <c r="B416" s="51">
        <v>45718</v>
      </c>
      <c r="C416" s="1" t="s">
        <v>26</v>
      </c>
      <c r="D416" s="52">
        <v>56</v>
      </c>
    </row>
    <row r="417" spans="1:4">
      <c r="A417" s="50">
        <f t="shared" si="116"/>
        <v>416</v>
      </c>
      <c r="B417" s="51">
        <v>45718</v>
      </c>
      <c r="C417" s="1" t="s">
        <v>45</v>
      </c>
      <c r="D417" s="52">
        <v>22</v>
      </c>
    </row>
    <row r="418" spans="1:4">
      <c r="A418" s="53">
        <f t="shared" si="116"/>
        <v>417</v>
      </c>
      <c r="B418" s="54">
        <v>45718</v>
      </c>
      <c r="C418" s="55" t="s">
        <v>23</v>
      </c>
      <c r="D418" s="56">
        <v>100</v>
      </c>
    </row>
    <row r="419" spans="1:4">
      <c r="A419" s="50">
        <f t="shared" ref="A419:A421" si="117">IF(B419="","",ROW(A418))</f>
        <v>418</v>
      </c>
      <c r="B419" s="51">
        <v>45719</v>
      </c>
      <c r="C419" s="1" t="s">
        <v>45</v>
      </c>
      <c r="D419" s="52">
        <v>22</v>
      </c>
    </row>
    <row r="420" spans="1:4">
      <c r="A420" s="50">
        <f t="shared" si="117"/>
        <v>419</v>
      </c>
      <c r="B420" s="51">
        <v>45719</v>
      </c>
      <c r="C420" s="1" t="s">
        <v>26</v>
      </c>
      <c r="D420" s="52">
        <v>56</v>
      </c>
    </row>
    <row r="421" spans="1:4">
      <c r="A421" s="53">
        <f t="shared" si="117"/>
        <v>420</v>
      </c>
      <c r="B421" s="54">
        <v>45719</v>
      </c>
      <c r="C421" s="55" t="s">
        <v>23</v>
      </c>
      <c r="D421" s="56">
        <v>100</v>
      </c>
    </row>
    <row r="422" spans="1:4">
      <c r="A422" s="50">
        <f t="shared" ref="A422:A424" si="118">IF(B422="","",ROW(A421))</f>
        <v>421</v>
      </c>
      <c r="B422" s="51">
        <v>45720</v>
      </c>
      <c r="C422" s="1" t="s">
        <v>26</v>
      </c>
      <c r="D422" s="52">
        <v>57</v>
      </c>
    </row>
    <row r="423" spans="1:4">
      <c r="A423" s="50">
        <f t="shared" si="118"/>
        <v>422</v>
      </c>
      <c r="B423" s="51">
        <v>45720</v>
      </c>
      <c r="C423" s="1" t="s">
        <v>45</v>
      </c>
      <c r="D423" s="52">
        <v>22</v>
      </c>
    </row>
    <row r="424" spans="1:4">
      <c r="A424" s="53">
        <f t="shared" si="118"/>
        <v>423</v>
      </c>
      <c r="B424" s="54">
        <v>45720</v>
      </c>
      <c r="C424" s="55" t="s">
        <v>23</v>
      </c>
      <c r="D424" s="56">
        <v>102</v>
      </c>
    </row>
    <row r="425" spans="1:4">
      <c r="A425" s="50">
        <f t="shared" ref="A425:A427" si="119">IF(B425="","",ROW(A424))</f>
        <v>424</v>
      </c>
      <c r="B425" s="51">
        <v>45721</v>
      </c>
      <c r="C425" s="1" t="s">
        <v>26</v>
      </c>
      <c r="D425" s="52">
        <v>57</v>
      </c>
    </row>
    <row r="426" spans="1:4">
      <c r="A426" s="50">
        <f t="shared" si="119"/>
        <v>425</v>
      </c>
      <c r="B426" s="51">
        <v>45721</v>
      </c>
      <c r="C426" s="1" t="s">
        <v>45</v>
      </c>
      <c r="D426" s="52">
        <v>22</v>
      </c>
    </row>
    <row r="427" spans="1:4">
      <c r="A427" s="53">
        <f t="shared" si="119"/>
        <v>426</v>
      </c>
      <c r="B427" s="54">
        <v>45721</v>
      </c>
      <c r="C427" s="55" t="s">
        <v>23</v>
      </c>
      <c r="D427" s="56">
        <v>102</v>
      </c>
    </row>
    <row r="428" spans="1:4">
      <c r="A428" s="50">
        <f>IF(B428="","",ROW(A427))</f>
        <v>427</v>
      </c>
      <c r="B428" s="51">
        <v>45722</v>
      </c>
      <c r="C428" s="1" t="s">
        <v>45</v>
      </c>
      <c r="D428" s="52">
        <v>22</v>
      </c>
    </row>
    <row r="429" spans="1:4">
      <c r="A429" s="50">
        <f>IF(B429="","",ROW(A428))</f>
        <v>428</v>
      </c>
      <c r="B429" s="51">
        <v>45722</v>
      </c>
      <c r="C429" s="1" t="s">
        <v>23</v>
      </c>
      <c r="D429" s="52">
        <v>102</v>
      </c>
    </row>
    <row r="430" spans="1:4">
      <c r="A430" s="53">
        <f>IF(B430="","",ROW(A429))</f>
        <v>429</v>
      </c>
      <c r="B430" s="54">
        <v>45722</v>
      </c>
      <c r="C430" s="55" t="s">
        <v>26</v>
      </c>
      <c r="D430" s="56">
        <v>57</v>
      </c>
    </row>
    <row r="431" spans="1:4">
      <c r="A431" s="50">
        <f t="shared" ref="A431:A433" si="120">IF(B431="","",ROW(A430))</f>
        <v>430</v>
      </c>
      <c r="B431" s="51">
        <v>45723</v>
      </c>
      <c r="C431" s="1" t="s">
        <v>26</v>
      </c>
      <c r="D431" s="52">
        <v>57</v>
      </c>
    </row>
    <row r="432" spans="1:4">
      <c r="A432" s="50">
        <f t="shared" si="120"/>
        <v>431</v>
      </c>
      <c r="B432" s="51">
        <v>45723</v>
      </c>
      <c r="C432" s="1" t="s">
        <v>23</v>
      </c>
      <c r="D432" s="52">
        <v>105</v>
      </c>
    </row>
    <row r="433" spans="1:4">
      <c r="A433" s="53">
        <f t="shared" si="120"/>
        <v>432</v>
      </c>
      <c r="B433" s="54">
        <v>45723</v>
      </c>
      <c r="C433" s="55" t="s">
        <v>45</v>
      </c>
      <c r="D433" s="56">
        <v>23</v>
      </c>
    </row>
    <row r="434" spans="1:4">
      <c r="A434" s="50">
        <f t="shared" ref="A434:A436" si="121">IF(B434="","",ROW(A433))</f>
        <v>433</v>
      </c>
      <c r="B434" s="51">
        <v>45724</v>
      </c>
      <c r="C434" s="1" t="s">
        <v>45</v>
      </c>
      <c r="D434" s="52">
        <v>23</v>
      </c>
    </row>
    <row r="435" spans="1:4">
      <c r="A435" s="50">
        <f t="shared" si="121"/>
        <v>434</v>
      </c>
      <c r="B435" s="51">
        <v>45724</v>
      </c>
      <c r="C435" s="1" t="s">
        <v>26</v>
      </c>
      <c r="D435" s="52">
        <v>57</v>
      </c>
    </row>
    <row r="436" spans="1:4">
      <c r="A436" s="53">
        <f t="shared" si="121"/>
        <v>435</v>
      </c>
      <c r="B436" s="54">
        <v>45724</v>
      </c>
      <c r="C436" s="55" t="s">
        <v>23</v>
      </c>
      <c r="D436" s="56">
        <v>105</v>
      </c>
    </row>
    <row r="437" spans="1:4">
      <c r="A437" s="50">
        <f t="shared" ref="A437:A439" si="122">IF(B437="","",ROW(A436))</f>
        <v>436</v>
      </c>
      <c r="B437" s="51">
        <v>45725</v>
      </c>
      <c r="C437" s="1" t="s">
        <v>45</v>
      </c>
      <c r="D437" s="52">
        <v>23</v>
      </c>
    </row>
    <row r="438" spans="1:4">
      <c r="A438" s="50">
        <f t="shared" si="122"/>
        <v>437</v>
      </c>
      <c r="B438" s="51">
        <v>45725</v>
      </c>
      <c r="C438" s="1" t="s">
        <v>26</v>
      </c>
      <c r="D438" s="52">
        <v>57</v>
      </c>
    </row>
    <row r="439" spans="1:4">
      <c r="A439" s="53">
        <f t="shared" si="122"/>
        <v>438</v>
      </c>
      <c r="B439" s="54">
        <v>45725</v>
      </c>
      <c r="C439" s="55" t="s">
        <v>23</v>
      </c>
      <c r="D439" s="56">
        <v>105</v>
      </c>
    </row>
    <row r="440" spans="1:4">
      <c r="A440" s="50">
        <f t="shared" ref="A440:A442" si="123">IF(B440="","",ROW(A439))</f>
        <v>439</v>
      </c>
      <c r="B440" s="51">
        <v>45726</v>
      </c>
      <c r="C440" s="1" t="s">
        <v>45</v>
      </c>
      <c r="D440" s="52">
        <v>23</v>
      </c>
    </row>
    <row r="441" spans="1:4">
      <c r="A441" s="50">
        <f t="shared" si="123"/>
        <v>440</v>
      </c>
      <c r="B441" s="51">
        <v>45726</v>
      </c>
      <c r="C441" s="1" t="s">
        <v>23</v>
      </c>
      <c r="D441" s="52">
        <v>105</v>
      </c>
    </row>
    <row r="442" spans="1:4">
      <c r="A442" s="53">
        <f t="shared" si="123"/>
        <v>441</v>
      </c>
      <c r="B442" s="54">
        <v>45726</v>
      </c>
      <c r="C442" s="55" t="s">
        <v>26</v>
      </c>
      <c r="D442" s="56">
        <v>57</v>
      </c>
    </row>
    <row r="443" spans="1:4">
      <c r="A443" s="50">
        <f t="shared" ref="A443:A445" si="124">IF(B443="","",ROW(A442))</f>
        <v>442</v>
      </c>
      <c r="B443" s="51">
        <v>45727</v>
      </c>
      <c r="C443" s="1" t="s">
        <v>23</v>
      </c>
      <c r="D443" s="52">
        <v>105</v>
      </c>
    </row>
    <row r="444" spans="1:4">
      <c r="A444" s="50">
        <f t="shared" si="124"/>
        <v>443</v>
      </c>
      <c r="B444" s="51">
        <v>45727</v>
      </c>
      <c r="C444" s="1" t="s">
        <v>45</v>
      </c>
      <c r="D444" s="52">
        <v>23</v>
      </c>
    </row>
    <row r="445" spans="1:4">
      <c r="A445" s="53">
        <f t="shared" si="124"/>
        <v>444</v>
      </c>
      <c r="B445" s="54">
        <v>45727</v>
      </c>
      <c r="C445" s="55" t="s">
        <v>26</v>
      </c>
      <c r="D445" s="56">
        <v>57</v>
      </c>
    </row>
    <row r="446" spans="1:4">
      <c r="A446" s="50">
        <f t="shared" ref="A446:A448" si="125">IF(B446="","",ROW(A445))</f>
        <v>445</v>
      </c>
      <c r="B446" s="51">
        <v>45728</v>
      </c>
      <c r="C446" s="1" t="s">
        <v>45</v>
      </c>
      <c r="D446" s="52">
        <v>23</v>
      </c>
    </row>
    <row r="447" spans="1:4">
      <c r="A447" s="50">
        <f t="shared" si="125"/>
        <v>446</v>
      </c>
      <c r="B447" s="51">
        <v>45728</v>
      </c>
      <c r="C447" s="1" t="s">
        <v>26</v>
      </c>
      <c r="D447" s="52">
        <v>57</v>
      </c>
    </row>
    <row r="448" spans="1:4">
      <c r="A448" s="53">
        <f t="shared" si="125"/>
        <v>447</v>
      </c>
      <c r="B448" s="54">
        <v>45728</v>
      </c>
      <c r="C448" s="55" t="s">
        <v>23</v>
      </c>
      <c r="D448" s="56">
        <v>105</v>
      </c>
    </row>
    <row r="449" spans="1:4">
      <c r="A449" s="50">
        <f t="shared" ref="A449:A451" si="126">IF(B449="","",ROW(A448))</f>
        <v>448</v>
      </c>
      <c r="B449" s="51">
        <v>45729</v>
      </c>
      <c r="C449" s="1" t="s">
        <v>45</v>
      </c>
      <c r="D449" s="52">
        <v>23</v>
      </c>
    </row>
    <row r="450" spans="1:4">
      <c r="A450" s="50">
        <f t="shared" si="126"/>
        <v>449</v>
      </c>
      <c r="B450" s="51">
        <v>45729</v>
      </c>
      <c r="C450" s="1" t="s">
        <v>26</v>
      </c>
      <c r="D450" s="52">
        <v>57</v>
      </c>
    </row>
    <row r="451" spans="1:4">
      <c r="A451" s="53">
        <f t="shared" si="126"/>
        <v>450</v>
      </c>
      <c r="B451" s="54">
        <v>45729</v>
      </c>
      <c r="C451" s="55" t="s">
        <v>23</v>
      </c>
      <c r="D451" s="56">
        <v>105</v>
      </c>
    </row>
    <row r="452" spans="1:4">
      <c r="A452" s="50">
        <f t="shared" ref="A452:A454" si="127">IF(B452="","",ROW(A451))</f>
        <v>451</v>
      </c>
      <c r="B452" s="51">
        <v>45730</v>
      </c>
      <c r="C452" s="1" t="s">
        <v>45</v>
      </c>
      <c r="D452" s="52">
        <v>23</v>
      </c>
    </row>
    <row r="453" spans="1:4">
      <c r="A453" s="50">
        <f t="shared" si="127"/>
        <v>452</v>
      </c>
      <c r="B453" s="51">
        <v>45730</v>
      </c>
      <c r="C453" s="1" t="s">
        <v>26</v>
      </c>
      <c r="D453" s="52">
        <v>57</v>
      </c>
    </row>
    <row r="454" spans="1:4">
      <c r="A454" s="53">
        <f t="shared" si="127"/>
        <v>453</v>
      </c>
      <c r="B454" s="54">
        <v>45730</v>
      </c>
      <c r="C454" s="55" t="s">
        <v>23</v>
      </c>
      <c r="D454" s="56">
        <v>105</v>
      </c>
    </row>
    <row r="455" spans="1:4">
      <c r="A455" s="50">
        <f t="shared" ref="A455:A457" si="128">IF(B455="","",ROW(A454))</f>
        <v>454</v>
      </c>
      <c r="B455" s="51">
        <v>45731</v>
      </c>
      <c r="C455" s="1" t="s">
        <v>26</v>
      </c>
      <c r="D455" s="52">
        <v>57</v>
      </c>
    </row>
    <row r="456" spans="1:4">
      <c r="A456" s="50">
        <f t="shared" si="128"/>
        <v>455</v>
      </c>
      <c r="B456" s="51">
        <v>45731</v>
      </c>
      <c r="C456" s="1" t="s">
        <v>45</v>
      </c>
      <c r="D456" s="52">
        <v>23</v>
      </c>
    </row>
    <row r="457" spans="1:4">
      <c r="A457" s="53">
        <f t="shared" si="128"/>
        <v>456</v>
      </c>
      <c r="B457" s="54">
        <v>45731</v>
      </c>
      <c r="C457" s="55" t="s">
        <v>23</v>
      </c>
      <c r="D457" s="56">
        <v>105</v>
      </c>
    </row>
    <row r="458" spans="1:4">
      <c r="A458" s="50">
        <f t="shared" ref="A458:A460" si="129">IF(B458="","",ROW(A457))</f>
        <v>457</v>
      </c>
      <c r="B458" s="51">
        <v>45732</v>
      </c>
      <c r="C458" s="1" t="s">
        <v>26</v>
      </c>
      <c r="D458" s="52">
        <v>57</v>
      </c>
    </row>
    <row r="459" spans="1:4">
      <c r="A459" s="50">
        <f t="shared" si="129"/>
        <v>458</v>
      </c>
      <c r="B459" s="51">
        <v>45732</v>
      </c>
      <c r="C459" s="1" t="s">
        <v>23</v>
      </c>
      <c r="D459" s="52">
        <v>105</v>
      </c>
    </row>
    <row r="460" spans="1:4">
      <c r="A460" s="53">
        <f t="shared" si="129"/>
        <v>459</v>
      </c>
      <c r="B460" s="54">
        <v>45732</v>
      </c>
      <c r="C460" s="55" t="s">
        <v>45</v>
      </c>
      <c r="D460" s="56">
        <v>23</v>
      </c>
    </row>
    <row r="461" spans="1:4">
      <c r="A461" s="50">
        <f t="shared" ref="A461:A463" si="130">IF(B461="","",ROW(A460))</f>
        <v>460</v>
      </c>
      <c r="B461" s="51">
        <v>45733</v>
      </c>
      <c r="C461" s="1" t="s">
        <v>26</v>
      </c>
      <c r="D461" s="52">
        <v>57</v>
      </c>
    </row>
    <row r="462" spans="1:4">
      <c r="A462" s="50">
        <f t="shared" si="130"/>
        <v>461</v>
      </c>
      <c r="B462" s="51">
        <v>45733</v>
      </c>
      <c r="C462" s="1" t="s">
        <v>45</v>
      </c>
      <c r="D462" s="52">
        <v>23</v>
      </c>
    </row>
    <row r="463" spans="1:4">
      <c r="A463" s="53">
        <f t="shared" si="130"/>
        <v>462</v>
      </c>
      <c r="B463" s="54">
        <v>45733</v>
      </c>
      <c r="C463" s="55" t="s">
        <v>23</v>
      </c>
      <c r="D463" s="56">
        <v>105</v>
      </c>
    </row>
    <row r="464" spans="1:4">
      <c r="A464" s="50">
        <f t="shared" ref="A464:A466" si="131">IF(B464="","",ROW(A463))</f>
        <v>463</v>
      </c>
      <c r="B464" s="51">
        <v>45734</v>
      </c>
      <c r="C464" s="1" t="s">
        <v>26</v>
      </c>
      <c r="D464" s="52">
        <v>61</v>
      </c>
    </row>
    <row r="465" spans="1:4">
      <c r="A465" s="50">
        <f t="shared" si="131"/>
        <v>464</v>
      </c>
      <c r="B465" s="51">
        <v>45734</v>
      </c>
      <c r="C465" s="1" t="s">
        <v>23</v>
      </c>
      <c r="D465" s="52">
        <v>109</v>
      </c>
    </row>
    <row r="466" spans="1:4">
      <c r="A466" s="53">
        <f t="shared" si="131"/>
        <v>465</v>
      </c>
      <c r="B466" s="54">
        <v>45734</v>
      </c>
      <c r="C466" s="55" t="s">
        <v>45</v>
      </c>
      <c r="D466" s="56">
        <v>24</v>
      </c>
    </row>
    <row r="467" spans="1:4">
      <c r="A467" s="50">
        <f t="shared" ref="A467:A469" si="132">IF(B467="","",ROW(A466))</f>
        <v>466</v>
      </c>
      <c r="B467" s="51">
        <v>45735</v>
      </c>
      <c r="C467" s="1" t="s">
        <v>45</v>
      </c>
      <c r="D467" s="52">
        <v>24</v>
      </c>
    </row>
    <row r="468" spans="1:4">
      <c r="A468" s="50">
        <f t="shared" si="132"/>
        <v>467</v>
      </c>
      <c r="B468" s="51">
        <v>45735</v>
      </c>
      <c r="C468" s="1" t="s">
        <v>26</v>
      </c>
      <c r="D468" s="52">
        <v>61</v>
      </c>
    </row>
    <row r="469" spans="1:4">
      <c r="A469" s="53">
        <f t="shared" si="132"/>
        <v>468</v>
      </c>
      <c r="B469" s="54">
        <v>45735</v>
      </c>
      <c r="C469" s="55" t="s">
        <v>23</v>
      </c>
      <c r="D469" s="56">
        <v>109</v>
      </c>
    </row>
    <row r="470" spans="1:4">
      <c r="A470" s="50">
        <f t="shared" ref="A470:A472" si="133">IF(B470="","",ROW(A469))</f>
        <v>469</v>
      </c>
      <c r="B470" s="51">
        <v>45736</v>
      </c>
      <c r="C470" s="1" t="s">
        <v>23</v>
      </c>
      <c r="D470" s="52">
        <v>109</v>
      </c>
    </row>
    <row r="471" spans="1:4">
      <c r="A471" s="50">
        <f t="shared" si="133"/>
        <v>470</v>
      </c>
      <c r="B471" s="51">
        <v>45736</v>
      </c>
      <c r="C471" s="1" t="s">
        <v>45</v>
      </c>
      <c r="D471" s="52">
        <v>24</v>
      </c>
    </row>
    <row r="472" spans="1:4">
      <c r="A472" s="53">
        <f t="shared" si="133"/>
        <v>471</v>
      </c>
      <c r="B472" s="54">
        <v>45736</v>
      </c>
      <c r="C472" s="55" t="s">
        <v>26</v>
      </c>
      <c r="D472" s="56">
        <v>61</v>
      </c>
    </row>
    <row r="473" spans="1:4">
      <c r="A473" s="50">
        <f t="shared" ref="A473:A475" si="134">IF(B473="","",ROW(A472))</f>
        <v>472</v>
      </c>
      <c r="B473" s="51">
        <v>45737</v>
      </c>
      <c r="C473" s="1" t="s">
        <v>45</v>
      </c>
      <c r="D473" s="52">
        <v>24</v>
      </c>
    </row>
    <row r="474" spans="1:4">
      <c r="A474" s="50">
        <f t="shared" si="134"/>
        <v>473</v>
      </c>
      <c r="B474" s="51">
        <v>45737</v>
      </c>
      <c r="C474" s="1" t="s">
        <v>23</v>
      </c>
      <c r="D474" s="52">
        <v>109</v>
      </c>
    </row>
    <row r="475" spans="1:4">
      <c r="A475" s="53">
        <f t="shared" si="134"/>
        <v>474</v>
      </c>
      <c r="B475" s="54">
        <v>45737</v>
      </c>
      <c r="C475" s="55" t="s">
        <v>26</v>
      </c>
      <c r="D475" s="56">
        <v>61</v>
      </c>
    </row>
    <row r="476" spans="1:4">
      <c r="A476" s="50">
        <f t="shared" ref="A476:A478" si="135">IF(B476="","",ROW(A475))</f>
        <v>475</v>
      </c>
      <c r="B476" s="51">
        <v>45738</v>
      </c>
      <c r="C476" s="1" t="s">
        <v>45</v>
      </c>
      <c r="D476" s="52">
        <v>24</v>
      </c>
    </row>
    <row r="477" spans="1:4">
      <c r="A477" s="50">
        <f t="shared" si="135"/>
        <v>476</v>
      </c>
      <c r="B477" s="51">
        <v>45738</v>
      </c>
      <c r="C477" s="1" t="s">
        <v>23</v>
      </c>
      <c r="D477" s="52">
        <v>109</v>
      </c>
    </row>
    <row r="478" spans="1:4">
      <c r="A478" s="53">
        <f t="shared" si="135"/>
        <v>477</v>
      </c>
      <c r="B478" s="54">
        <v>45738</v>
      </c>
      <c r="C478" s="55" t="s">
        <v>26</v>
      </c>
      <c r="D478" s="56">
        <v>61</v>
      </c>
    </row>
    <row r="479" spans="1:4">
      <c r="A479" s="50">
        <f t="shared" ref="A479:A481" si="136">IF(B479="","",ROW(A478))</f>
        <v>478</v>
      </c>
      <c r="B479" s="51">
        <v>45739</v>
      </c>
      <c r="C479" s="1" t="s">
        <v>23</v>
      </c>
      <c r="D479" s="52">
        <v>109</v>
      </c>
    </row>
    <row r="480" spans="1:4">
      <c r="A480" s="50">
        <f t="shared" si="136"/>
        <v>479</v>
      </c>
      <c r="B480" s="51">
        <v>45739</v>
      </c>
      <c r="C480" s="1" t="s">
        <v>45</v>
      </c>
      <c r="D480" s="52">
        <v>24</v>
      </c>
    </row>
    <row r="481" spans="1:4">
      <c r="A481" s="53">
        <f t="shared" si="136"/>
        <v>480</v>
      </c>
      <c r="B481" s="54">
        <v>45739</v>
      </c>
      <c r="C481" s="55" t="s">
        <v>26</v>
      </c>
      <c r="D481" s="56">
        <v>61</v>
      </c>
    </row>
    <row r="482" spans="1:4">
      <c r="A482" s="50">
        <f t="shared" ref="A482:A484" si="137">IF(B482="","",ROW(A481))</f>
        <v>481</v>
      </c>
      <c r="B482" s="51">
        <v>45740</v>
      </c>
      <c r="C482" s="1" t="s">
        <v>23</v>
      </c>
      <c r="D482" s="52">
        <v>109</v>
      </c>
    </row>
    <row r="483" spans="1:4">
      <c r="A483" s="50">
        <f t="shared" si="137"/>
        <v>482</v>
      </c>
      <c r="B483" s="51">
        <v>45740</v>
      </c>
      <c r="C483" s="1" t="s">
        <v>26</v>
      </c>
      <c r="D483" s="52">
        <v>61</v>
      </c>
    </row>
    <row r="484" spans="1:4">
      <c r="A484" s="53">
        <f t="shared" si="137"/>
        <v>483</v>
      </c>
      <c r="B484" s="54">
        <v>45740</v>
      </c>
      <c r="C484" s="55" t="s">
        <v>45</v>
      </c>
      <c r="D484" s="56">
        <v>24</v>
      </c>
    </row>
    <row r="485" spans="1:4">
      <c r="A485" s="50">
        <f t="shared" ref="A485:A487" si="138">IF(B485="","",ROW(A484))</f>
        <v>484</v>
      </c>
      <c r="B485" s="51">
        <v>45741</v>
      </c>
      <c r="C485" s="1" t="s">
        <v>45</v>
      </c>
      <c r="D485" s="52">
        <v>23</v>
      </c>
    </row>
    <row r="486" spans="1:4">
      <c r="A486" s="50">
        <f t="shared" si="138"/>
        <v>485</v>
      </c>
      <c r="B486" s="51">
        <v>45741</v>
      </c>
      <c r="C486" s="1" t="s">
        <v>26</v>
      </c>
      <c r="D486" s="52">
        <v>60</v>
      </c>
    </row>
    <row r="487" spans="1:4">
      <c r="A487" s="53">
        <f t="shared" si="138"/>
        <v>486</v>
      </c>
      <c r="B487" s="54">
        <v>45741</v>
      </c>
      <c r="C487" s="55" t="s">
        <v>23</v>
      </c>
      <c r="D487" s="56">
        <v>111</v>
      </c>
    </row>
    <row r="488" spans="1:4">
      <c r="A488" s="50">
        <f t="shared" ref="A488:A490" si="139">IF(B488="","",ROW(A487))</f>
        <v>487</v>
      </c>
      <c r="B488" s="51">
        <v>45742</v>
      </c>
      <c r="C488" s="1" t="s">
        <v>23</v>
      </c>
      <c r="D488" s="52">
        <v>111</v>
      </c>
    </row>
    <row r="489" spans="1:4">
      <c r="A489" s="50">
        <f t="shared" si="139"/>
        <v>488</v>
      </c>
      <c r="B489" s="51">
        <v>45742</v>
      </c>
      <c r="C489" s="1" t="s">
        <v>26</v>
      </c>
      <c r="D489" s="52">
        <v>60</v>
      </c>
    </row>
    <row r="490" spans="1:4">
      <c r="A490" s="53">
        <f t="shared" si="139"/>
        <v>489</v>
      </c>
      <c r="B490" s="54">
        <v>45742</v>
      </c>
      <c r="C490" s="55" t="s">
        <v>45</v>
      </c>
      <c r="D490" s="56">
        <v>23</v>
      </c>
    </row>
    <row r="491" spans="1:4">
      <c r="A491" s="50">
        <f t="shared" ref="A491:A493" si="140">IF(B491="","",ROW(A490))</f>
        <v>490</v>
      </c>
      <c r="B491" s="51">
        <v>45743</v>
      </c>
      <c r="C491" s="1" t="s">
        <v>45</v>
      </c>
      <c r="D491" s="52">
        <v>23</v>
      </c>
    </row>
    <row r="492" spans="1:4">
      <c r="A492" s="50">
        <f t="shared" si="140"/>
        <v>491</v>
      </c>
      <c r="B492" s="51">
        <v>45743</v>
      </c>
      <c r="C492" s="1" t="s">
        <v>26</v>
      </c>
      <c r="D492" s="52">
        <v>60</v>
      </c>
    </row>
    <row r="493" spans="1:4">
      <c r="A493" s="53">
        <f t="shared" si="140"/>
        <v>492</v>
      </c>
      <c r="B493" s="54">
        <v>45743</v>
      </c>
      <c r="C493" s="55" t="s">
        <v>23</v>
      </c>
      <c r="D493" s="56">
        <v>111</v>
      </c>
    </row>
    <row r="494" spans="1:4">
      <c r="A494" s="50">
        <f t="shared" ref="A494:A496" si="141">IF(B494="","",ROW(A493))</f>
        <v>493</v>
      </c>
      <c r="B494" s="51">
        <v>45744</v>
      </c>
      <c r="C494" s="1" t="s">
        <v>26</v>
      </c>
      <c r="D494" s="52">
        <v>60</v>
      </c>
    </row>
    <row r="495" spans="1:4">
      <c r="A495" s="50">
        <f t="shared" si="141"/>
        <v>494</v>
      </c>
      <c r="B495" s="51">
        <v>45744</v>
      </c>
      <c r="C495" s="1" t="s">
        <v>45</v>
      </c>
      <c r="D495" s="52">
        <v>23</v>
      </c>
    </row>
    <row r="496" spans="1:4">
      <c r="A496" s="53">
        <f t="shared" si="141"/>
        <v>495</v>
      </c>
      <c r="B496" s="54">
        <v>45744</v>
      </c>
      <c r="C496" s="55" t="s">
        <v>23</v>
      </c>
      <c r="D496" s="56">
        <v>111</v>
      </c>
    </row>
    <row r="497" spans="1:4">
      <c r="A497" s="50">
        <f t="shared" ref="A497:A499" si="142">IF(B497="","",ROW(A496))</f>
        <v>496</v>
      </c>
      <c r="B497" s="51">
        <v>45745</v>
      </c>
      <c r="C497" s="1" t="s">
        <v>26</v>
      </c>
      <c r="D497" s="52">
        <v>60</v>
      </c>
    </row>
    <row r="498" spans="1:4">
      <c r="A498" s="50">
        <f t="shared" si="142"/>
        <v>497</v>
      </c>
      <c r="B498" s="51">
        <v>45745</v>
      </c>
      <c r="C498" s="1" t="s">
        <v>45</v>
      </c>
      <c r="D498" s="52">
        <v>23</v>
      </c>
    </row>
    <row r="499" spans="1:4">
      <c r="A499" s="53">
        <f t="shared" si="142"/>
        <v>498</v>
      </c>
      <c r="B499" s="54">
        <v>45745</v>
      </c>
      <c r="C499" s="55" t="s">
        <v>23</v>
      </c>
      <c r="D499" s="56">
        <v>111</v>
      </c>
    </row>
    <row r="500" spans="1:4">
      <c r="A500" s="50">
        <f t="shared" ref="A500:A502" si="143">IF(B500="","",ROW(A499))</f>
        <v>499</v>
      </c>
      <c r="B500" s="51">
        <v>45746</v>
      </c>
      <c r="C500" s="1" t="s">
        <v>45</v>
      </c>
      <c r="D500" s="52">
        <v>23</v>
      </c>
    </row>
    <row r="501" spans="1:4">
      <c r="A501" s="50">
        <f t="shared" si="143"/>
        <v>500</v>
      </c>
      <c r="B501" s="51">
        <v>45746</v>
      </c>
      <c r="C501" s="1" t="s">
        <v>26</v>
      </c>
      <c r="D501" s="52">
        <v>49</v>
      </c>
    </row>
    <row r="502" spans="1:4">
      <c r="A502" s="53">
        <f t="shared" si="143"/>
        <v>501</v>
      </c>
      <c r="B502" s="54">
        <v>45746</v>
      </c>
      <c r="C502" s="55" t="s">
        <v>23</v>
      </c>
      <c r="D502" s="56">
        <v>122</v>
      </c>
    </row>
    <row r="503" spans="1:4">
      <c r="A503" s="50">
        <f t="shared" ref="A503:A505" si="144">IF(B503="","",ROW(A502))</f>
        <v>502</v>
      </c>
      <c r="B503" s="51">
        <v>45747</v>
      </c>
      <c r="C503" s="1" t="s">
        <v>23</v>
      </c>
      <c r="D503" s="52">
        <v>122</v>
      </c>
    </row>
    <row r="504" spans="1:4">
      <c r="A504" s="50">
        <f t="shared" si="144"/>
        <v>503</v>
      </c>
      <c r="B504" s="51">
        <v>45747</v>
      </c>
      <c r="C504" s="1" t="s">
        <v>26</v>
      </c>
      <c r="D504" s="52">
        <v>49</v>
      </c>
    </row>
    <row r="505" spans="1:4">
      <c r="A505" s="53">
        <f t="shared" si="144"/>
        <v>504</v>
      </c>
      <c r="B505" s="54">
        <v>45747</v>
      </c>
      <c r="C505" s="55" t="s">
        <v>45</v>
      </c>
      <c r="D505" s="56">
        <v>23</v>
      </c>
    </row>
    <row r="506" spans="1:4">
      <c r="A506" s="50">
        <f t="shared" ref="A506:A508" si="145">IF(B506="","",ROW(A505))</f>
        <v>505</v>
      </c>
      <c r="B506" s="51">
        <v>45748</v>
      </c>
      <c r="C506" s="1" t="s">
        <v>45</v>
      </c>
      <c r="D506" s="52">
        <v>23</v>
      </c>
    </row>
    <row r="507" spans="1:4">
      <c r="A507" s="50">
        <f t="shared" si="145"/>
        <v>506</v>
      </c>
      <c r="B507" s="51">
        <v>45748</v>
      </c>
      <c r="C507" s="1" t="s">
        <v>26</v>
      </c>
      <c r="D507" s="52">
        <v>49</v>
      </c>
    </row>
    <row r="508" spans="1:4">
      <c r="A508" s="53">
        <f t="shared" si="145"/>
        <v>507</v>
      </c>
      <c r="B508" s="54">
        <v>45748</v>
      </c>
      <c r="C508" s="55" t="s">
        <v>23</v>
      </c>
      <c r="D508" s="56">
        <v>122</v>
      </c>
    </row>
    <row r="509" spans="1:4">
      <c r="A509" s="50">
        <f t="shared" ref="A509:A511" si="146">IF(B509="","",ROW(A508))</f>
        <v>508</v>
      </c>
      <c r="B509" s="51">
        <v>45749</v>
      </c>
      <c r="C509" s="1" t="s">
        <v>23</v>
      </c>
      <c r="D509" s="52">
        <v>122</v>
      </c>
    </row>
    <row r="510" spans="1:4">
      <c r="A510" s="50">
        <f t="shared" si="146"/>
        <v>509</v>
      </c>
      <c r="B510" s="51">
        <v>45749</v>
      </c>
      <c r="C510" s="1" t="s">
        <v>26</v>
      </c>
      <c r="D510" s="52">
        <v>49</v>
      </c>
    </row>
    <row r="511" spans="1:4">
      <c r="A511" s="53">
        <f t="shared" si="146"/>
        <v>510</v>
      </c>
      <c r="B511" s="54">
        <v>45749</v>
      </c>
      <c r="C511" s="55" t="s">
        <v>45</v>
      </c>
      <c r="D511" s="56">
        <v>23</v>
      </c>
    </row>
    <row r="512" spans="1:4">
      <c r="A512" s="50">
        <f t="shared" ref="A512:A514" si="147">IF(B512="","",ROW(A511))</f>
        <v>511</v>
      </c>
      <c r="B512" s="51">
        <v>45750</v>
      </c>
      <c r="C512" s="1" t="s">
        <v>45</v>
      </c>
      <c r="D512" s="52">
        <v>23</v>
      </c>
    </row>
    <row r="513" spans="1:4">
      <c r="A513" s="50">
        <f t="shared" si="147"/>
        <v>512</v>
      </c>
      <c r="B513" s="51">
        <v>45750</v>
      </c>
      <c r="C513" s="1" t="s">
        <v>23</v>
      </c>
      <c r="D513" s="52">
        <v>122</v>
      </c>
    </row>
    <row r="514" spans="1:4">
      <c r="A514" s="53">
        <f t="shared" si="147"/>
        <v>513</v>
      </c>
      <c r="B514" s="54">
        <v>45750</v>
      </c>
      <c r="C514" s="55" t="s">
        <v>26</v>
      </c>
      <c r="D514" s="56">
        <v>49</v>
      </c>
    </row>
    <row r="515" spans="1:4">
      <c r="A515" s="50">
        <f t="shared" ref="A515:A517" si="148">IF(B515="","",ROW(A514))</f>
        <v>514</v>
      </c>
      <c r="B515" s="51">
        <v>45751</v>
      </c>
      <c r="C515" s="1" t="s">
        <v>45</v>
      </c>
      <c r="D515" s="52">
        <v>23</v>
      </c>
    </row>
    <row r="516" spans="1:4">
      <c r="A516" s="50">
        <f t="shared" si="148"/>
        <v>515</v>
      </c>
      <c r="B516" s="51">
        <v>45751</v>
      </c>
      <c r="C516" s="1" t="s">
        <v>26</v>
      </c>
      <c r="D516" s="52">
        <v>49</v>
      </c>
    </row>
    <row r="517" spans="1:4">
      <c r="A517" s="53">
        <f t="shared" si="148"/>
        <v>516</v>
      </c>
      <c r="B517" s="54">
        <v>45751</v>
      </c>
      <c r="C517" s="55" t="s">
        <v>23</v>
      </c>
      <c r="D517" s="56">
        <v>122</v>
      </c>
    </row>
    <row r="518" spans="1:4">
      <c r="A518" s="50">
        <f t="shared" ref="A518:A520" si="149">IF(B518="","",ROW(A517))</f>
        <v>517</v>
      </c>
      <c r="B518" s="51">
        <v>45752</v>
      </c>
      <c r="C518" s="1" t="s">
        <v>45</v>
      </c>
      <c r="D518" s="52">
        <v>23</v>
      </c>
    </row>
    <row r="519" spans="1:4">
      <c r="A519" s="50">
        <f t="shared" si="149"/>
        <v>518</v>
      </c>
      <c r="B519" s="51">
        <v>45752</v>
      </c>
      <c r="C519" s="1" t="s">
        <v>26</v>
      </c>
      <c r="D519" s="52">
        <v>49</v>
      </c>
    </row>
    <row r="520" spans="1:4">
      <c r="A520" s="53">
        <f t="shared" si="149"/>
        <v>519</v>
      </c>
      <c r="B520" s="54">
        <v>45752</v>
      </c>
      <c r="C520" s="55" t="s">
        <v>23</v>
      </c>
      <c r="D520" s="56">
        <v>122</v>
      </c>
    </row>
    <row r="521" spans="1:4">
      <c r="A521" s="50">
        <f t="shared" ref="A521:A523" si="150">IF(B521="","",ROW(A520))</f>
        <v>520</v>
      </c>
      <c r="B521" s="51">
        <v>45753</v>
      </c>
      <c r="C521" s="1" t="s">
        <v>26</v>
      </c>
      <c r="D521" s="52">
        <v>49</v>
      </c>
    </row>
    <row r="522" spans="1:4">
      <c r="A522" s="50">
        <f t="shared" si="150"/>
        <v>521</v>
      </c>
      <c r="B522" s="51">
        <v>45753</v>
      </c>
      <c r="C522" s="1" t="s">
        <v>23</v>
      </c>
      <c r="D522" s="52">
        <v>122</v>
      </c>
    </row>
    <row r="523" spans="1:4">
      <c r="A523" s="53">
        <f t="shared" si="150"/>
        <v>522</v>
      </c>
      <c r="B523" s="54">
        <v>45753</v>
      </c>
      <c r="C523" s="55" t="s">
        <v>45</v>
      </c>
      <c r="D523" s="56">
        <v>23</v>
      </c>
    </row>
    <row r="524" spans="1:4">
      <c r="A524" s="50">
        <f t="shared" ref="A524:A526" si="151">IF(B524="","",ROW(A523))</f>
        <v>523</v>
      </c>
      <c r="B524" s="51">
        <v>45754</v>
      </c>
      <c r="C524" s="1" t="s">
        <v>45</v>
      </c>
      <c r="D524" s="52">
        <v>23</v>
      </c>
    </row>
    <row r="525" spans="1:4">
      <c r="A525" s="50">
        <f t="shared" si="151"/>
        <v>524</v>
      </c>
      <c r="B525" s="51">
        <v>45754</v>
      </c>
      <c r="C525" s="1" t="s">
        <v>26</v>
      </c>
      <c r="D525" s="52">
        <v>49</v>
      </c>
    </row>
    <row r="526" spans="1:4">
      <c r="A526" s="53">
        <f t="shared" si="151"/>
        <v>525</v>
      </c>
      <c r="B526" s="54">
        <v>45754</v>
      </c>
      <c r="C526" s="55" t="s">
        <v>23</v>
      </c>
      <c r="D526" s="56">
        <v>122</v>
      </c>
    </row>
    <row r="527" spans="1:4">
      <c r="A527" s="50">
        <f t="shared" ref="A527:A529" si="152">IF(B527="","",ROW(A526))</f>
        <v>526</v>
      </c>
      <c r="B527" s="51">
        <v>45755</v>
      </c>
      <c r="C527" s="1" t="s">
        <v>26</v>
      </c>
      <c r="D527" s="52">
        <v>49</v>
      </c>
    </row>
    <row r="528" spans="1:4">
      <c r="A528" s="50">
        <f t="shared" si="152"/>
        <v>527</v>
      </c>
      <c r="B528" s="51">
        <v>45755</v>
      </c>
      <c r="C528" s="1" t="s">
        <v>23</v>
      </c>
      <c r="D528" s="52">
        <v>122</v>
      </c>
    </row>
    <row r="529" spans="1:4">
      <c r="A529" s="53">
        <f t="shared" si="152"/>
        <v>528</v>
      </c>
      <c r="B529" s="54">
        <v>45755</v>
      </c>
      <c r="C529" s="55" t="s">
        <v>45</v>
      </c>
      <c r="D529" s="56">
        <v>23</v>
      </c>
    </row>
    <row r="530" spans="1:4">
      <c r="A530" s="50">
        <f t="shared" ref="A530:A532" si="153">IF(B530="","",ROW(A529))</f>
        <v>529</v>
      </c>
      <c r="B530" s="51">
        <v>45756</v>
      </c>
      <c r="C530" s="1" t="s">
        <v>45</v>
      </c>
      <c r="D530" s="52">
        <v>23</v>
      </c>
    </row>
    <row r="531" spans="1:4">
      <c r="A531" s="50">
        <f t="shared" si="153"/>
        <v>530</v>
      </c>
      <c r="B531" s="51">
        <v>45756</v>
      </c>
      <c r="C531" s="1" t="s">
        <v>23</v>
      </c>
      <c r="D531" s="52">
        <v>122</v>
      </c>
    </row>
    <row r="532" spans="1:4">
      <c r="A532" s="53">
        <f t="shared" si="153"/>
        <v>531</v>
      </c>
      <c r="B532" s="54">
        <v>45756</v>
      </c>
      <c r="C532" s="55" t="s">
        <v>26</v>
      </c>
      <c r="D532" s="56">
        <v>49</v>
      </c>
    </row>
    <row r="533" spans="1:4">
      <c r="A533" s="50">
        <f t="shared" ref="A533:A535" si="154">IF(B533="","",ROW(A532))</f>
        <v>532</v>
      </c>
      <c r="B533" s="51">
        <v>45757</v>
      </c>
      <c r="C533" s="1" t="s">
        <v>23</v>
      </c>
      <c r="D533" s="52">
        <v>122</v>
      </c>
    </row>
    <row r="534" spans="1:4">
      <c r="A534" s="50">
        <f t="shared" si="154"/>
        <v>533</v>
      </c>
      <c r="B534" s="51">
        <v>45757</v>
      </c>
      <c r="C534" s="1" t="s">
        <v>26</v>
      </c>
      <c r="D534" s="52">
        <v>49</v>
      </c>
    </row>
    <row r="535" spans="1:4">
      <c r="A535" s="53">
        <f t="shared" si="154"/>
        <v>534</v>
      </c>
      <c r="B535" s="54">
        <v>45757</v>
      </c>
      <c r="C535" s="55" t="s">
        <v>45</v>
      </c>
      <c r="D535" s="56">
        <v>23</v>
      </c>
    </row>
    <row r="536" spans="1:4">
      <c r="A536" s="50">
        <f t="shared" ref="A536:A538" si="155">IF(B536="","",ROW(A535))</f>
        <v>535</v>
      </c>
      <c r="B536" s="51">
        <v>45758</v>
      </c>
      <c r="C536" s="1" t="s">
        <v>45</v>
      </c>
      <c r="D536" s="52">
        <v>23</v>
      </c>
    </row>
    <row r="537" spans="1:4">
      <c r="A537" s="50">
        <f t="shared" si="155"/>
        <v>536</v>
      </c>
      <c r="B537" s="51">
        <v>45758</v>
      </c>
      <c r="C537" s="1" t="s">
        <v>23</v>
      </c>
      <c r="D537" s="52">
        <v>122</v>
      </c>
    </row>
    <row r="538" spans="1:4">
      <c r="A538" s="53">
        <f t="shared" si="155"/>
        <v>537</v>
      </c>
      <c r="B538" s="54">
        <v>45758</v>
      </c>
      <c r="C538" s="55" t="s">
        <v>26</v>
      </c>
      <c r="D538" s="56">
        <v>49</v>
      </c>
    </row>
    <row r="539" spans="1:4">
      <c r="A539" s="50">
        <f t="shared" ref="A539:A541" si="156">IF(B539="","",ROW(A538))</f>
        <v>538</v>
      </c>
      <c r="B539" s="51">
        <v>45759</v>
      </c>
      <c r="C539" s="1" t="s">
        <v>23</v>
      </c>
      <c r="D539" s="52">
        <v>122</v>
      </c>
    </row>
    <row r="540" spans="1:4">
      <c r="A540" s="50">
        <f t="shared" si="156"/>
        <v>539</v>
      </c>
      <c r="B540" s="51">
        <v>45759</v>
      </c>
      <c r="C540" s="1" t="s">
        <v>45</v>
      </c>
      <c r="D540" s="52">
        <v>23</v>
      </c>
    </row>
    <row r="541" spans="1:4">
      <c r="A541" s="53">
        <f t="shared" si="156"/>
        <v>540</v>
      </c>
      <c r="B541" s="54">
        <v>45759</v>
      </c>
      <c r="C541" s="55" t="s">
        <v>26</v>
      </c>
      <c r="D541" s="56">
        <v>49</v>
      </c>
    </row>
    <row r="542" spans="1:4">
      <c r="A542" s="50">
        <f t="shared" ref="A542:A544" si="157">IF(B542="","",ROW(A541))</f>
        <v>541</v>
      </c>
      <c r="B542" s="51">
        <v>45760</v>
      </c>
      <c r="C542" s="1" t="s">
        <v>45</v>
      </c>
      <c r="D542" s="52">
        <v>23</v>
      </c>
    </row>
    <row r="543" spans="1:4">
      <c r="A543" s="50">
        <f t="shared" si="157"/>
        <v>542</v>
      </c>
      <c r="B543" s="51">
        <v>45760</v>
      </c>
      <c r="C543" s="1" t="s">
        <v>23</v>
      </c>
      <c r="D543" s="52">
        <v>122</v>
      </c>
    </row>
    <row r="544" spans="1:4">
      <c r="A544" s="53">
        <f t="shared" si="157"/>
        <v>543</v>
      </c>
      <c r="B544" s="54">
        <v>45760</v>
      </c>
      <c r="C544" s="55" t="s">
        <v>26</v>
      </c>
      <c r="D544" s="56">
        <v>49</v>
      </c>
    </row>
    <row r="545" spans="1:4">
      <c r="A545" s="50">
        <f t="shared" ref="A545:A547" si="158">IF(B545="","",ROW(A544))</f>
        <v>544</v>
      </c>
      <c r="B545" s="51">
        <v>45761</v>
      </c>
      <c r="C545" s="1" t="s">
        <v>45</v>
      </c>
      <c r="D545" s="52">
        <v>22</v>
      </c>
    </row>
    <row r="546" spans="1:4">
      <c r="A546" s="50">
        <f t="shared" si="158"/>
        <v>545</v>
      </c>
      <c r="B546" s="51">
        <v>45761</v>
      </c>
      <c r="C546" s="1" t="s">
        <v>26</v>
      </c>
      <c r="D546" s="52">
        <v>49</v>
      </c>
    </row>
    <row r="547" spans="1:4">
      <c r="A547" s="53">
        <f t="shared" si="158"/>
        <v>546</v>
      </c>
      <c r="B547" s="54">
        <v>45761</v>
      </c>
      <c r="C547" s="55" t="s">
        <v>23</v>
      </c>
      <c r="D547" s="56">
        <v>123</v>
      </c>
    </row>
    <row r="548" spans="1:4">
      <c r="A548" s="50">
        <f t="shared" ref="A548:A550" si="159">IF(B548="","",ROW(A547))</f>
        <v>547</v>
      </c>
      <c r="B548" s="51">
        <v>45762</v>
      </c>
      <c r="C548" s="1" t="s">
        <v>23</v>
      </c>
      <c r="D548" s="52">
        <v>123</v>
      </c>
    </row>
    <row r="549" spans="1:4">
      <c r="A549" s="50">
        <f t="shared" si="159"/>
        <v>548</v>
      </c>
      <c r="B549" s="51">
        <v>45762</v>
      </c>
      <c r="C549" s="1" t="s">
        <v>45</v>
      </c>
      <c r="D549" s="52">
        <v>22</v>
      </c>
    </row>
    <row r="550" spans="1:4">
      <c r="A550" s="53">
        <f t="shared" si="159"/>
        <v>549</v>
      </c>
      <c r="B550" s="54">
        <v>45762</v>
      </c>
      <c r="C550" s="55" t="s">
        <v>26</v>
      </c>
      <c r="D550" s="56">
        <v>49</v>
      </c>
    </row>
    <row r="551" spans="1:4">
      <c r="A551" s="50">
        <f t="shared" ref="A551:A553" si="160">IF(B551="","",ROW(A550))</f>
        <v>550</v>
      </c>
      <c r="B551" s="51">
        <v>45763</v>
      </c>
      <c r="C551" s="1" t="s">
        <v>23</v>
      </c>
      <c r="D551" s="52">
        <v>123</v>
      </c>
    </row>
    <row r="552" spans="1:4">
      <c r="A552" s="50">
        <f t="shared" si="160"/>
        <v>551</v>
      </c>
      <c r="B552" s="51">
        <v>45763</v>
      </c>
      <c r="C552" s="1" t="s">
        <v>45</v>
      </c>
      <c r="D552" s="52">
        <v>22</v>
      </c>
    </row>
    <row r="553" spans="1:4">
      <c r="A553" s="53">
        <f t="shared" si="160"/>
        <v>552</v>
      </c>
      <c r="B553" s="54">
        <v>45763</v>
      </c>
      <c r="C553" s="55" t="s">
        <v>26</v>
      </c>
      <c r="D553" s="56">
        <v>49</v>
      </c>
    </row>
    <row r="554" spans="1:4">
      <c r="A554" s="50">
        <f t="shared" ref="A554:A556" si="161">IF(B554="","",ROW(A553))</f>
        <v>553</v>
      </c>
      <c r="B554" s="51">
        <v>45764</v>
      </c>
      <c r="C554" s="1" t="s">
        <v>45</v>
      </c>
      <c r="D554" s="52">
        <v>22</v>
      </c>
    </row>
    <row r="555" spans="1:4">
      <c r="A555" s="50">
        <f t="shared" si="161"/>
        <v>554</v>
      </c>
      <c r="B555" s="51">
        <v>45764</v>
      </c>
      <c r="C555" s="1" t="s">
        <v>26</v>
      </c>
      <c r="D555" s="52">
        <v>49</v>
      </c>
    </row>
    <row r="556" spans="1:4">
      <c r="A556" s="53">
        <f t="shared" si="161"/>
        <v>555</v>
      </c>
      <c r="B556" s="54">
        <v>45764</v>
      </c>
      <c r="C556" s="55" t="s">
        <v>23</v>
      </c>
      <c r="D556" s="56">
        <v>123</v>
      </c>
    </row>
    <row r="557" spans="1:4">
      <c r="A557" s="50">
        <f t="shared" ref="A557:A559" si="162">IF(B557="","",ROW(A556))</f>
        <v>556</v>
      </c>
      <c r="B557" s="51">
        <v>45765</v>
      </c>
      <c r="C557" s="1" t="s">
        <v>45</v>
      </c>
      <c r="D557" s="52">
        <v>22</v>
      </c>
    </row>
    <row r="558" spans="1:4">
      <c r="A558" s="50">
        <f t="shared" si="162"/>
        <v>557</v>
      </c>
      <c r="B558" s="51">
        <v>45765</v>
      </c>
      <c r="C558" s="1" t="s">
        <v>23</v>
      </c>
      <c r="D558" s="52">
        <v>123</v>
      </c>
    </row>
    <row r="559" spans="1:4">
      <c r="A559" s="53">
        <f t="shared" si="162"/>
        <v>558</v>
      </c>
      <c r="B559" s="54">
        <v>45765</v>
      </c>
      <c r="C559" s="55" t="s">
        <v>26</v>
      </c>
      <c r="D559" s="56">
        <v>49</v>
      </c>
    </row>
    <row r="560" spans="1:4">
      <c r="A560" s="50">
        <f t="shared" ref="A560:A562" si="163">IF(B560="","",ROW(A559))</f>
        <v>559</v>
      </c>
      <c r="B560" s="51">
        <v>45766</v>
      </c>
      <c r="C560" s="1" t="s">
        <v>26</v>
      </c>
      <c r="D560" s="52">
        <v>49</v>
      </c>
    </row>
    <row r="561" spans="1:4">
      <c r="A561" s="50">
        <f t="shared" si="163"/>
        <v>560</v>
      </c>
      <c r="B561" s="51">
        <v>45766</v>
      </c>
      <c r="C561" s="1" t="s">
        <v>45</v>
      </c>
      <c r="D561" s="52">
        <v>22</v>
      </c>
    </row>
    <row r="562" spans="1:4">
      <c r="A562" s="53">
        <f t="shared" si="163"/>
        <v>561</v>
      </c>
      <c r="B562" s="54">
        <v>45766</v>
      </c>
      <c r="C562" s="55" t="s">
        <v>23</v>
      </c>
      <c r="D562" s="56">
        <v>123</v>
      </c>
    </row>
    <row r="563" spans="1:4">
      <c r="A563" s="50">
        <f t="shared" ref="A563:A565" si="164">IF(B563="","",ROW(A562))</f>
        <v>562</v>
      </c>
      <c r="B563" s="51">
        <v>45767</v>
      </c>
      <c r="C563" s="1" t="s">
        <v>26</v>
      </c>
      <c r="D563" s="52">
        <v>49</v>
      </c>
    </row>
    <row r="564" spans="1:4">
      <c r="A564" s="50">
        <f t="shared" si="164"/>
        <v>563</v>
      </c>
      <c r="B564" s="51">
        <v>45767</v>
      </c>
      <c r="C564" s="1" t="s">
        <v>45</v>
      </c>
      <c r="D564" s="52">
        <v>22</v>
      </c>
    </row>
    <row r="565" spans="1:4">
      <c r="A565" s="53">
        <f t="shared" si="164"/>
        <v>564</v>
      </c>
      <c r="B565" s="54">
        <v>45767</v>
      </c>
      <c r="C565" s="55" t="s">
        <v>23</v>
      </c>
      <c r="D565" s="56">
        <v>123</v>
      </c>
    </row>
    <row r="566" spans="1:4">
      <c r="A566" s="50">
        <f t="shared" ref="A566:A567" si="165">IF(B566="","",ROW(A565))</f>
        <v>565</v>
      </c>
      <c r="B566" s="51">
        <v>45768</v>
      </c>
      <c r="C566" s="1" t="s">
        <v>26</v>
      </c>
      <c r="D566" s="52">
        <v>49</v>
      </c>
    </row>
    <row r="567" spans="1:4">
      <c r="A567" s="53">
        <f t="shared" si="165"/>
        <v>566</v>
      </c>
      <c r="B567" s="54">
        <v>45768</v>
      </c>
      <c r="C567" s="55" t="s">
        <v>23</v>
      </c>
      <c r="D567" s="56">
        <v>123</v>
      </c>
    </row>
    <row r="568" spans="1:4">
      <c r="A568" s="53">
        <f>IF(B568="","",ROW(A567))</f>
        <v>567</v>
      </c>
      <c r="B568" s="54">
        <v>45768</v>
      </c>
      <c r="C568" s="55" t="s">
        <v>45</v>
      </c>
      <c r="D568" s="56">
        <v>22</v>
      </c>
    </row>
    <row r="569" spans="1:4">
      <c r="A569" s="50">
        <f t="shared" ref="A569:A571" si="166">IF(B569="","",ROW(A568))</f>
        <v>568</v>
      </c>
      <c r="B569" s="51">
        <v>45769</v>
      </c>
      <c r="C569" s="1" t="s">
        <v>26</v>
      </c>
      <c r="D569" s="52">
        <v>44</v>
      </c>
    </row>
    <row r="570" spans="1:4">
      <c r="A570" s="50">
        <f t="shared" si="166"/>
        <v>569</v>
      </c>
      <c r="B570" s="51">
        <v>45769</v>
      </c>
      <c r="C570" s="1" t="s">
        <v>23</v>
      </c>
      <c r="D570" s="52">
        <v>126</v>
      </c>
    </row>
    <row r="571" spans="1:4">
      <c r="A571" s="53">
        <f t="shared" si="166"/>
        <v>570</v>
      </c>
      <c r="B571" s="54">
        <v>45769</v>
      </c>
      <c r="C571" s="55" t="s">
        <v>45</v>
      </c>
      <c r="D571" s="56">
        <v>22</v>
      </c>
    </row>
    <row r="572" spans="1:4">
      <c r="A572" s="50">
        <f t="shared" ref="A572:A574" si="167">IF(B572="","",ROW(A571))</f>
        <v>571</v>
      </c>
      <c r="B572" s="51">
        <v>45770</v>
      </c>
      <c r="C572" s="1" t="s">
        <v>23</v>
      </c>
      <c r="D572" s="52">
        <v>126</v>
      </c>
    </row>
    <row r="573" spans="1:4">
      <c r="A573" s="50">
        <f t="shared" si="167"/>
        <v>572</v>
      </c>
      <c r="B573" s="51">
        <v>45770</v>
      </c>
      <c r="C573" s="1" t="s">
        <v>26</v>
      </c>
      <c r="D573" s="52">
        <v>44</v>
      </c>
    </row>
    <row r="574" spans="1:4">
      <c r="A574" s="53">
        <f t="shared" si="167"/>
        <v>573</v>
      </c>
      <c r="B574" s="54">
        <v>45770</v>
      </c>
      <c r="C574" s="55" t="s">
        <v>45</v>
      </c>
      <c r="D574" s="56">
        <v>22</v>
      </c>
    </row>
    <row r="575" spans="1:4">
      <c r="A575" s="50">
        <f t="shared" ref="A575:A577" si="168">IF(B575="","",ROW(A574))</f>
        <v>574</v>
      </c>
      <c r="B575" s="51">
        <v>45771</v>
      </c>
      <c r="C575" s="1" t="s">
        <v>26</v>
      </c>
      <c r="D575" s="52">
        <v>44</v>
      </c>
    </row>
    <row r="576" spans="1:4">
      <c r="A576" s="50">
        <f t="shared" si="168"/>
        <v>575</v>
      </c>
      <c r="B576" s="51">
        <v>45771</v>
      </c>
      <c r="C576" s="1" t="s">
        <v>45</v>
      </c>
      <c r="D576" s="52">
        <v>22</v>
      </c>
    </row>
    <row r="577" spans="1:4">
      <c r="A577" s="53">
        <f t="shared" si="168"/>
        <v>576</v>
      </c>
      <c r="B577" s="54">
        <v>45771</v>
      </c>
      <c r="C577" s="55" t="s">
        <v>23</v>
      </c>
      <c r="D577" s="56">
        <v>126</v>
      </c>
    </row>
    <row r="578" spans="1:4">
      <c r="A578" s="50">
        <f t="shared" ref="A578:A580" si="169">IF(B578="","",ROW(A577))</f>
        <v>577</v>
      </c>
      <c r="B578" s="51">
        <v>45772</v>
      </c>
      <c r="C578" s="1" t="s">
        <v>45</v>
      </c>
      <c r="D578" s="52">
        <v>22</v>
      </c>
    </row>
    <row r="579" spans="1:4">
      <c r="A579" s="50">
        <f t="shared" si="169"/>
        <v>578</v>
      </c>
      <c r="B579" s="51">
        <v>45772</v>
      </c>
      <c r="C579" s="1" t="s">
        <v>23</v>
      </c>
      <c r="D579" s="52">
        <v>126</v>
      </c>
    </row>
    <row r="580" spans="1:4">
      <c r="A580" s="53">
        <f t="shared" si="169"/>
        <v>579</v>
      </c>
      <c r="B580" s="54">
        <v>45772</v>
      </c>
      <c r="C580" s="55" t="s">
        <v>26</v>
      </c>
      <c r="D580" s="56">
        <v>44</v>
      </c>
    </row>
    <row r="581" spans="1:4">
      <c r="A581" s="50">
        <f t="shared" ref="A581:A583" si="170">IF(B581="","",ROW(A580))</f>
        <v>580</v>
      </c>
      <c r="B581" s="51">
        <v>45773</v>
      </c>
      <c r="C581" s="1" t="s">
        <v>45</v>
      </c>
      <c r="D581" s="52">
        <v>22</v>
      </c>
    </row>
    <row r="582" spans="1:4">
      <c r="A582" s="50">
        <f t="shared" si="170"/>
        <v>581</v>
      </c>
      <c r="B582" s="51">
        <v>45773</v>
      </c>
      <c r="C582" s="1" t="s">
        <v>23</v>
      </c>
      <c r="D582" s="52">
        <v>126</v>
      </c>
    </row>
    <row r="583" spans="1:4">
      <c r="A583" s="53">
        <f t="shared" si="170"/>
        <v>582</v>
      </c>
      <c r="B583" s="54">
        <v>45773</v>
      </c>
      <c r="C583" s="55" t="s">
        <v>26</v>
      </c>
      <c r="D583" s="56">
        <v>44</v>
      </c>
    </row>
    <row r="584" spans="1:4">
      <c r="A584" s="50">
        <f t="shared" ref="A584:A586" si="171">IF(B584="","",ROW(A583))</f>
        <v>583</v>
      </c>
      <c r="B584" s="51">
        <v>45774</v>
      </c>
      <c r="C584" s="1" t="s">
        <v>45</v>
      </c>
      <c r="D584" s="52">
        <v>22</v>
      </c>
    </row>
    <row r="585" spans="1:4">
      <c r="A585" s="50">
        <f t="shared" si="171"/>
        <v>584</v>
      </c>
      <c r="B585" s="51">
        <v>45774</v>
      </c>
      <c r="C585" s="1" t="s">
        <v>23</v>
      </c>
      <c r="D585" s="52">
        <v>126</v>
      </c>
    </row>
    <row r="586" spans="1:4">
      <c r="A586" s="53">
        <f t="shared" si="171"/>
        <v>585</v>
      </c>
      <c r="B586" s="54">
        <v>45774</v>
      </c>
      <c r="C586" s="55" t="s">
        <v>26</v>
      </c>
      <c r="D586" s="56">
        <v>44</v>
      </c>
    </row>
    <row r="587" spans="1:4">
      <c r="A587" s="50">
        <f t="shared" ref="A587:A589" si="172">IF(B587="","",ROW(A586))</f>
        <v>586</v>
      </c>
      <c r="B587" s="51">
        <v>45775</v>
      </c>
      <c r="C587" s="1" t="s">
        <v>23</v>
      </c>
      <c r="D587" s="52">
        <v>126</v>
      </c>
    </row>
    <row r="588" spans="1:4">
      <c r="A588" s="50">
        <f t="shared" si="172"/>
        <v>587</v>
      </c>
      <c r="B588" s="51">
        <v>45775</v>
      </c>
      <c r="C588" s="1" t="s">
        <v>45</v>
      </c>
      <c r="D588" s="52">
        <v>22</v>
      </c>
    </row>
    <row r="589" spans="1:4">
      <c r="A589" s="53">
        <f t="shared" si="172"/>
        <v>588</v>
      </c>
      <c r="B589" s="54">
        <v>45775</v>
      </c>
      <c r="C589" s="55" t="s">
        <v>26</v>
      </c>
      <c r="D589" s="56">
        <v>44</v>
      </c>
    </row>
    <row r="590" spans="1:4">
      <c r="A590" s="50">
        <f t="shared" ref="A590:A592" si="173">IF(B590="","",ROW(A589))</f>
        <v>589</v>
      </c>
      <c r="B590" s="51">
        <v>45776</v>
      </c>
      <c r="C590" s="1" t="s">
        <v>45</v>
      </c>
      <c r="D590" s="52">
        <v>22</v>
      </c>
    </row>
    <row r="591" spans="1:4">
      <c r="A591" s="50">
        <f t="shared" si="173"/>
        <v>590</v>
      </c>
      <c r="B591" s="51">
        <v>45776</v>
      </c>
      <c r="C591" s="1" t="s">
        <v>26</v>
      </c>
      <c r="D591" s="52">
        <v>44</v>
      </c>
    </row>
    <row r="592" spans="1:4">
      <c r="A592" s="53">
        <f t="shared" si="173"/>
        <v>591</v>
      </c>
      <c r="B592" s="54">
        <v>45776</v>
      </c>
      <c r="C592" s="55" t="s">
        <v>23</v>
      </c>
      <c r="D592" s="56">
        <v>126</v>
      </c>
    </row>
    <row r="593" spans="1:4">
      <c r="A593" s="50">
        <f t="shared" ref="A593:A595" si="174">IF(B593="","",ROW(A592))</f>
        <v>592</v>
      </c>
      <c r="B593" s="51">
        <v>45777</v>
      </c>
      <c r="C593" s="1" t="s">
        <v>26</v>
      </c>
      <c r="D593" s="52">
        <v>44</v>
      </c>
    </row>
    <row r="594" spans="1:4">
      <c r="A594" s="50">
        <f t="shared" si="174"/>
        <v>593</v>
      </c>
      <c r="B594" s="51">
        <v>45777</v>
      </c>
      <c r="C594" s="1" t="s">
        <v>23</v>
      </c>
      <c r="D594" s="52">
        <v>126</v>
      </c>
    </row>
    <row r="595" spans="1:4">
      <c r="A595" s="53">
        <f t="shared" si="174"/>
        <v>594</v>
      </c>
      <c r="B595" s="54">
        <v>45777</v>
      </c>
      <c r="C595" s="55" t="s">
        <v>45</v>
      </c>
      <c r="D595" s="56">
        <v>22</v>
      </c>
    </row>
    <row r="596" spans="1:4">
      <c r="A596" s="50">
        <f t="shared" ref="A596:A598" si="175">IF(B596="","",ROW(A595))</f>
        <v>595</v>
      </c>
      <c r="B596" s="51">
        <v>45778</v>
      </c>
      <c r="C596" s="1" t="s">
        <v>26</v>
      </c>
      <c r="D596" s="52">
        <v>44</v>
      </c>
    </row>
    <row r="597" spans="1:4">
      <c r="A597" s="50">
        <f t="shared" si="175"/>
        <v>596</v>
      </c>
      <c r="B597" s="51">
        <v>45778</v>
      </c>
      <c r="C597" s="1" t="s">
        <v>45</v>
      </c>
      <c r="D597" s="52">
        <v>22</v>
      </c>
    </row>
    <row r="598" spans="1:4">
      <c r="A598" s="53">
        <f t="shared" si="175"/>
        <v>597</v>
      </c>
      <c r="B598" s="54">
        <v>45778</v>
      </c>
      <c r="C598" s="55" t="s">
        <v>23</v>
      </c>
      <c r="D598" s="56">
        <v>126</v>
      </c>
    </row>
    <row r="599" spans="1:4">
      <c r="A599" s="50">
        <f t="shared" ref="A599:A601" si="176">IF(B599="","",ROW(A598))</f>
        <v>598</v>
      </c>
      <c r="B599" s="51">
        <v>45779</v>
      </c>
      <c r="C599" s="1" t="s">
        <v>26</v>
      </c>
      <c r="D599" s="52">
        <v>44</v>
      </c>
    </row>
    <row r="600" spans="1:4">
      <c r="A600" s="50">
        <f t="shared" si="176"/>
        <v>599</v>
      </c>
      <c r="B600" s="51">
        <v>45779</v>
      </c>
      <c r="C600" s="1" t="s">
        <v>23</v>
      </c>
      <c r="D600" s="52">
        <v>126</v>
      </c>
    </row>
    <row r="601" spans="1:4">
      <c r="A601" s="53">
        <f t="shared" si="176"/>
        <v>600</v>
      </c>
      <c r="B601" s="54">
        <v>45779</v>
      </c>
      <c r="C601" s="55" t="s">
        <v>45</v>
      </c>
      <c r="D601" s="56">
        <v>22</v>
      </c>
    </row>
    <row r="602" spans="1:4">
      <c r="A602" s="50">
        <f t="shared" ref="A602:A604" si="177">IF(B602="","",ROW(A601))</f>
        <v>601</v>
      </c>
      <c r="B602" s="51">
        <v>45780</v>
      </c>
      <c r="C602" s="1" t="s">
        <v>26</v>
      </c>
      <c r="D602" s="52">
        <v>44</v>
      </c>
    </row>
    <row r="603" spans="1:4">
      <c r="A603" s="50">
        <f t="shared" si="177"/>
        <v>602</v>
      </c>
      <c r="B603" s="51">
        <v>45780</v>
      </c>
      <c r="C603" s="1" t="s">
        <v>45</v>
      </c>
      <c r="D603" s="52">
        <v>22</v>
      </c>
    </row>
    <row r="604" spans="1:4">
      <c r="A604" s="53">
        <f t="shared" si="177"/>
        <v>603</v>
      </c>
      <c r="B604" s="54">
        <v>45780</v>
      </c>
      <c r="C604" s="55" t="s">
        <v>23</v>
      </c>
      <c r="D604" s="56">
        <v>126</v>
      </c>
    </row>
    <row r="605" spans="1:4">
      <c r="A605" s="50">
        <f t="shared" ref="A605:A607" si="178">IF(B605="","",ROW(A604))</f>
        <v>604</v>
      </c>
      <c r="B605" s="51">
        <v>45781</v>
      </c>
      <c r="C605" s="1" t="s">
        <v>45</v>
      </c>
      <c r="D605" s="52">
        <v>22</v>
      </c>
    </row>
    <row r="606" spans="1:4">
      <c r="A606" s="50">
        <f t="shared" si="178"/>
        <v>605</v>
      </c>
      <c r="B606" s="51">
        <v>45781</v>
      </c>
      <c r="C606" s="1" t="s">
        <v>23</v>
      </c>
      <c r="D606" s="52">
        <v>126</v>
      </c>
    </row>
    <row r="607" spans="1:4">
      <c r="A607" s="53">
        <f t="shared" si="178"/>
        <v>606</v>
      </c>
      <c r="B607" s="54">
        <v>45781</v>
      </c>
      <c r="C607" s="55" t="s">
        <v>26</v>
      </c>
      <c r="D607" s="56">
        <v>44</v>
      </c>
    </row>
    <row r="608" spans="1:4">
      <c r="A608" s="50">
        <f t="shared" ref="A608:A610" si="179">IF(B608="","",ROW(A607))</f>
        <v>607</v>
      </c>
      <c r="B608" s="51">
        <v>45782</v>
      </c>
      <c r="C608" s="1" t="s">
        <v>26</v>
      </c>
      <c r="D608" s="52">
        <v>44</v>
      </c>
    </row>
    <row r="609" spans="1:4">
      <c r="A609" s="50">
        <f t="shared" si="179"/>
        <v>608</v>
      </c>
      <c r="B609" s="51">
        <v>45782</v>
      </c>
      <c r="C609" s="1" t="s">
        <v>23</v>
      </c>
      <c r="D609" s="52">
        <v>126</v>
      </c>
    </row>
    <row r="610" spans="1:4">
      <c r="A610" s="53">
        <f t="shared" si="179"/>
        <v>609</v>
      </c>
      <c r="B610" s="54">
        <v>45782</v>
      </c>
      <c r="C610" s="55" t="s">
        <v>45</v>
      </c>
      <c r="D610" s="56">
        <v>22</v>
      </c>
    </row>
    <row r="611" spans="1:4">
      <c r="A611" s="50">
        <f t="shared" ref="A611:A613" si="180">IF(B611="","",ROW(A610))</f>
        <v>610</v>
      </c>
      <c r="B611" s="51">
        <v>45783</v>
      </c>
      <c r="C611" s="1" t="s">
        <v>45</v>
      </c>
      <c r="D611" s="52">
        <v>22</v>
      </c>
    </row>
    <row r="612" spans="1:4">
      <c r="A612" s="50">
        <f t="shared" si="180"/>
        <v>611</v>
      </c>
      <c r="B612" s="51">
        <v>45783</v>
      </c>
      <c r="C612" s="1" t="s">
        <v>26</v>
      </c>
      <c r="D612" s="52">
        <v>44</v>
      </c>
    </row>
    <row r="613" spans="1:4">
      <c r="A613" s="53">
        <f t="shared" si="180"/>
        <v>612</v>
      </c>
      <c r="B613" s="54">
        <v>45783</v>
      </c>
      <c r="C613" s="55" t="s">
        <v>23</v>
      </c>
      <c r="D613" s="56">
        <v>126</v>
      </c>
    </row>
    <row r="614" spans="1:4">
      <c r="A614" s="50">
        <f t="shared" ref="A614:A616" si="181">IF(B614="","",ROW(A613))</f>
        <v>613</v>
      </c>
      <c r="B614" s="51">
        <v>45784</v>
      </c>
      <c r="C614" s="1" t="s">
        <v>23</v>
      </c>
      <c r="D614" s="52">
        <v>126</v>
      </c>
    </row>
    <row r="615" spans="1:4">
      <c r="A615" s="50">
        <f t="shared" si="181"/>
        <v>614</v>
      </c>
      <c r="B615" s="51">
        <v>45784</v>
      </c>
      <c r="C615" s="1" t="s">
        <v>26</v>
      </c>
      <c r="D615" s="52">
        <v>44</v>
      </c>
    </row>
    <row r="616" spans="1:4">
      <c r="A616" s="53">
        <f t="shared" si="181"/>
        <v>615</v>
      </c>
      <c r="B616" s="54">
        <v>45784</v>
      </c>
      <c r="C616" s="55" t="s">
        <v>45</v>
      </c>
      <c r="D616" s="56">
        <v>22</v>
      </c>
    </row>
    <row r="617" spans="1:4">
      <c r="A617" s="50">
        <f t="shared" ref="A617:A619" si="182">IF(B617="","",ROW(A616))</f>
        <v>616</v>
      </c>
      <c r="B617" s="51">
        <v>45785</v>
      </c>
      <c r="C617" s="1" t="s">
        <v>45</v>
      </c>
      <c r="D617" s="52">
        <v>22</v>
      </c>
    </row>
    <row r="618" spans="1:4">
      <c r="A618" s="50">
        <f t="shared" si="182"/>
        <v>617</v>
      </c>
      <c r="B618" s="51">
        <v>45785</v>
      </c>
      <c r="C618" s="1" t="s">
        <v>23</v>
      </c>
      <c r="D618" s="52">
        <v>126</v>
      </c>
    </row>
    <row r="619" spans="1:4">
      <c r="A619" s="53">
        <f t="shared" si="182"/>
        <v>618</v>
      </c>
      <c r="B619" s="54">
        <v>45785</v>
      </c>
      <c r="C619" s="55" t="s">
        <v>26</v>
      </c>
      <c r="D619" s="56">
        <v>44</v>
      </c>
    </row>
    <row r="620" spans="1:4">
      <c r="A620" s="50">
        <f t="shared" ref="A620:A622" si="183">IF(B620="","",ROW(A619))</f>
        <v>619</v>
      </c>
      <c r="B620" s="51">
        <v>45786</v>
      </c>
      <c r="C620" s="1" t="s">
        <v>26</v>
      </c>
      <c r="D620" s="52">
        <v>44</v>
      </c>
    </row>
    <row r="621" spans="1:4">
      <c r="A621" s="50">
        <f t="shared" si="183"/>
        <v>620</v>
      </c>
      <c r="B621" s="51">
        <v>45786</v>
      </c>
      <c r="C621" s="1" t="s">
        <v>45</v>
      </c>
      <c r="D621" s="52">
        <v>22</v>
      </c>
    </row>
    <row r="622" spans="1:4">
      <c r="A622" s="53">
        <f t="shared" si="183"/>
        <v>621</v>
      </c>
      <c r="B622" s="54">
        <v>45786</v>
      </c>
      <c r="C622" s="55" t="s">
        <v>23</v>
      </c>
      <c r="D622" s="56">
        <v>126</v>
      </c>
    </row>
    <row r="623" spans="1:4">
      <c r="A623" s="50">
        <f t="shared" ref="A623:A625" si="184">IF(B623="","",ROW(A622))</f>
        <v>622</v>
      </c>
      <c r="B623" s="51">
        <v>45787</v>
      </c>
      <c r="C623" s="1" t="s">
        <v>45</v>
      </c>
      <c r="D623" s="52">
        <v>22</v>
      </c>
    </row>
    <row r="624" spans="1:4">
      <c r="A624" s="50">
        <f t="shared" si="184"/>
        <v>623</v>
      </c>
      <c r="B624" s="51">
        <v>45787</v>
      </c>
      <c r="C624" s="1" t="s">
        <v>23</v>
      </c>
      <c r="D624" s="52">
        <v>126</v>
      </c>
    </row>
    <row r="625" spans="1:4">
      <c r="A625" s="53">
        <f t="shared" si="184"/>
        <v>624</v>
      </c>
      <c r="B625" s="54">
        <v>45787</v>
      </c>
      <c r="C625" s="55" t="s">
        <v>26</v>
      </c>
      <c r="D625" s="56">
        <v>44</v>
      </c>
    </row>
    <row r="626" spans="1:4">
      <c r="A626" s="50">
        <f t="shared" ref="A626:A628" si="185">IF(B626="","",ROW(A625))</f>
        <v>625</v>
      </c>
      <c r="B626" s="51">
        <v>45788</v>
      </c>
      <c r="C626" s="1" t="s">
        <v>45</v>
      </c>
      <c r="D626" s="52">
        <v>22</v>
      </c>
    </row>
    <row r="627" spans="1:4">
      <c r="A627" s="50">
        <f t="shared" si="185"/>
        <v>626</v>
      </c>
      <c r="B627" s="51">
        <v>45788</v>
      </c>
      <c r="C627" s="1" t="s">
        <v>26</v>
      </c>
      <c r="D627" s="52">
        <v>44</v>
      </c>
    </row>
    <row r="628" spans="1:4">
      <c r="A628" s="53">
        <f t="shared" si="185"/>
        <v>627</v>
      </c>
      <c r="B628" s="54">
        <v>45788</v>
      </c>
      <c r="C628" s="55" t="s">
        <v>23</v>
      </c>
      <c r="D628" s="56">
        <v>126</v>
      </c>
    </row>
    <row r="629" spans="1:4">
      <c r="A629" s="50">
        <f t="shared" ref="A629:A631" si="186">IF(B629="","",ROW(A628))</f>
        <v>628</v>
      </c>
      <c r="B629" s="51">
        <v>45789</v>
      </c>
      <c r="C629" s="1" t="s">
        <v>26</v>
      </c>
      <c r="D629" s="52">
        <v>44</v>
      </c>
    </row>
    <row r="630" spans="1:4">
      <c r="A630" s="50">
        <f t="shared" si="186"/>
        <v>629</v>
      </c>
      <c r="B630" s="51">
        <v>45789</v>
      </c>
      <c r="C630" s="1" t="s">
        <v>45</v>
      </c>
      <c r="D630" s="52">
        <v>22</v>
      </c>
    </row>
    <row r="631" spans="1:4">
      <c r="A631" s="53">
        <f t="shared" si="186"/>
        <v>630</v>
      </c>
      <c r="B631" s="54">
        <v>45789</v>
      </c>
      <c r="C631" s="55" t="s">
        <v>23</v>
      </c>
      <c r="D631" s="56">
        <v>126</v>
      </c>
    </row>
    <row r="632" spans="1:4">
      <c r="A632" s="50">
        <f t="shared" ref="A632:A634" si="187">IF(B632="","",ROW(A631))</f>
        <v>631</v>
      </c>
      <c r="B632" s="51">
        <v>45790</v>
      </c>
      <c r="C632" s="1" t="s">
        <v>45</v>
      </c>
      <c r="D632" s="52">
        <v>20</v>
      </c>
    </row>
    <row r="633" spans="1:4">
      <c r="A633" s="50">
        <f t="shared" si="187"/>
        <v>632</v>
      </c>
      <c r="B633" s="51">
        <v>45790</v>
      </c>
      <c r="C633" s="1" t="s">
        <v>26</v>
      </c>
      <c r="D633" s="52">
        <v>40</v>
      </c>
    </row>
    <row r="634" spans="1:4">
      <c r="A634" s="53">
        <f t="shared" si="187"/>
        <v>633</v>
      </c>
      <c r="B634" s="54">
        <v>45790</v>
      </c>
      <c r="C634" s="55" t="s">
        <v>23</v>
      </c>
      <c r="D634" s="56">
        <v>132</v>
      </c>
    </row>
    <row r="635" spans="1:4">
      <c r="A635" s="50">
        <f t="shared" ref="A635:A637" si="188">IF(B635="","",ROW(A634))</f>
        <v>634</v>
      </c>
      <c r="B635" s="51">
        <v>45791</v>
      </c>
      <c r="C635" s="1" t="s">
        <v>23</v>
      </c>
      <c r="D635" s="52">
        <v>132</v>
      </c>
    </row>
    <row r="636" spans="1:4">
      <c r="A636" s="50">
        <f t="shared" si="188"/>
        <v>635</v>
      </c>
      <c r="B636" s="51">
        <v>45791</v>
      </c>
      <c r="C636" s="1" t="s">
        <v>26</v>
      </c>
      <c r="D636" s="52">
        <v>40</v>
      </c>
    </row>
    <row r="637" spans="1:4">
      <c r="A637" s="53">
        <f t="shared" si="188"/>
        <v>636</v>
      </c>
      <c r="B637" s="54">
        <v>45791</v>
      </c>
      <c r="C637" s="55" t="s">
        <v>45</v>
      </c>
      <c r="D637" s="56">
        <v>20</v>
      </c>
    </row>
    <row r="638" spans="1:4">
      <c r="A638" s="50">
        <f t="shared" ref="A638:A640" si="189">IF(B638="","",ROW(A637))</f>
        <v>637</v>
      </c>
      <c r="B638" s="51">
        <v>45792</v>
      </c>
      <c r="C638" s="1" t="s">
        <v>45</v>
      </c>
      <c r="D638" s="52">
        <v>20</v>
      </c>
    </row>
    <row r="639" spans="1:4">
      <c r="A639" s="50">
        <f t="shared" si="189"/>
        <v>638</v>
      </c>
      <c r="B639" s="51">
        <v>45792</v>
      </c>
      <c r="C639" s="1" t="s">
        <v>26</v>
      </c>
      <c r="D639" s="52">
        <v>50</v>
      </c>
    </row>
    <row r="640" spans="1:4">
      <c r="A640" s="53">
        <f t="shared" si="189"/>
        <v>639</v>
      </c>
      <c r="B640" s="54">
        <v>45792</v>
      </c>
      <c r="C640" s="55" t="s">
        <v>23</v>
      </c>
      <c r="D640" s="56">
        <v>131</v>
      </c>
    </row>
    <row r="641" spans="1:4">
      <c r="A641" s="50">
        <f t="shared" ref="A641:A643" si="190">IF(B641="","",ROW(A640))</f>
        <v>640</v>
      </c>
      <c r="B641" s="51">
        <v>45793</v>
      </c>
      <c r="C641" s="1" t="s">
        <v>45</v>
      </c>
      <c r="D641" s="52">
        <v>20</v>
      </c>
    </row>
    <row r="642" spans="1:4">
      <c r="A642" s="50">
        <f t="shared" si="190"/>
        <v>641</v>
      </c>
      <c r="B642" s="51">
        <v>45793</v>
      </c>
      <c r="C642" s="1" t="s">
        <v>26</v>
      </c>
      <c r="D642" s="52">
        <v>50</v>
      </c>
    </row>
    <row r="643" spans="1:4">
      <c r="A643" s="53">
        <f t="shared" si="190"/>
        <v>642</v>
      </c>
      <c r="B643" s="54">
        <v>45793</v>
      </c>
      <c r="C643" s="55" t="s">
        <v>23</v>
      </c>
      <c r="D643" s="56">
        <v>131</v>
      </c>
    </row>
    <row r="644" spans="1:4">
      <c r="A644" s="50">
        <f t="shared" ref="A644:A646" si="191">IF(B644="","",ROW(A643))</f>
        <v>643</v>
      </c>
      <c r="B644" s="51">
        <v>45794</v>
      </c>
      <c r="C644" s="1" t="s">
        <v>45</v>
      </c>
      <c r="D644" s="52">
        <v>20</v>
      </c>
    </row>
    <row r="645" spans="1:4">
      <c r="A645" s="50">
        <f t="shared" si="191"/>
        <v>644</v>
      </c>
      <c r="B645" s="51">
        <v>45794</v>
      </c>
      <c r="C645" s="1" t="s">
        <v>26</v>
      </c>
      <c r="D645" s="52">
        <v>50</v>
      </c>
    </row>
    <row r="646" spans="1:4">
      <c r="A646" s="53">
        <f t="shared" si="191"/>
        <v>645</v>
      </c>
      <c r="B646" s="54">
        <v>45794</v>
      </c>
      <c r="C646" s="55" t="s">
        <v>23</v>
      </c>
      <c r="D646" s="56">
        <v>131</v>
      </c>
    </row>
    <row r="647" spans="1:4">
      <c r="A647" s="50">
        <f t="shared" ref="A647:A649" si="192">IF(B647="","",ROW(A646))</f>
        <v>646</v>
      </c>
      <c r="B647" s="51">
        <v>45795</v>
      </c>
      <c r="C647" s="1" t="s">
        <v>45</v>
      </c>
      <c r="D647" s="52">
        <v>20</v>
      </c>
    </row>
    <row r="648" spans="1:4">
      <c r="A648" s="50">
        <f t="shared" si="192"/>
        <v>647</v>
      </c>
      <c r="B648" s="51">
        <v>45795</v>
      </c>
      <c r="C648" s="1" t="s">
        <v>23</v>
      </c>
      <c r="D648" s="52">
        <v>131</v>
      </c>
    </row>
    <row r="649" spans="1:4">
      <c r="A649" s="53">
        <f t="shared" si="192"/>
        <v>648</v>
      </c>
      <c r="B649" s="54">
        <v>45795</v>
      </c>
      <c r="C649" s="55" t="s">
        <v>26</v>
      </c>
      <c r="D649" s="56">
        <v>50</v>
      </c>
    </row>
    <row r="650" spans="1:4">
      <c r="A650" s="50">
        <f t="shared" ref="A650:A652" si="193">IF(B650="","",ROW(A649))</f>
        <v>649</v>
      </c>
      <c r="B650" s="51">
        <v>45796</v>
      </c>
      <c r="C650" s="1" t="s">
        <v>23</v>
      </c>
      <c r="D650" s="52">
        <v>131</v>
      </c>
    </row>
    <row r="651" spans="1:4">
      <c r="A651" s="50">
        <f t="shared" si="193"/>
        <v>650</v>
      </c>
      <c r="B651" s="51">
        <v>45796</v>
      </c>
      <c r="C651" s="1" t="s">
        <v>45</v>
      </c>
      <c r="D651" s="52">
        <v>20</v>
      </c>
    </row>
    <row r="652" spans="1:4">
      <c r="A652" s="53">
        <f t="shared" si="193"/>
        <v>651</v>
      </c>
      <c r="B652" s="54">
        <v>45796</v>
      </c>
      <c r="C652" s="55" t="s">
        <v>26</v>
      </c>
      <c r="D652" s="56">
        <v>50</v>
      </c>
    </row>
    <row r="653" spans="1:4">
      <c r="A653" s="50">
        <f t="shared" ref="A653:A655" si="194">IF(B653="","",ROW(A652))</f>
        <v>652</v>
      </c>
      <c r="B653" s="51">
        <v>45797</v>
      </c>
      <c r="C653" s="1" t="s">
        <v>23</v>
      </c>
      <c r="D653" s="52">
        <v>131</v>
      </c>
    </row>
    <row r="654" spans="1:4">
      <c r="A654" s="50">
        <f t="shared" si="194"/>
        <v>653</v>
      </c>
      <c r="B654" s="51">
        <v>45797</v>
      </c>
      <c r="C654" s="1" t="s">
        <v>26</v>
      </c>
      <c r="D654" s="52">
        <v>49</v>
      </c>
    </row>
    <row r="655" spans="1:4">
      <c r="A655" s="53">
        <f t="shared" si="194"/>
        <v>654</v>
      </c>
      <c r="B655" s="54">
        <v>45797</v>
      </c>
      <c r="C655" s="55" t="s">
        <v>45</v>
      </c>
      <c r="D655" s="56">
        <v>20</v>
      </c>
    </row>
    <row r="656" spans="1:4">
      <c r="A656" s="50">
        <f t="shared" ref="A656:A658" si="195">IF(B656="","",ROW(A655))</f>
        <v>655</v>
      </c>
      <c r="B656" s="51">
        <v>45798</v>
      </c>
      <c r="C656" s="1" t="s">
        <v>45</v>
      </c>
      <c r="D656" s="52">
        <v>20</v>
      </c>
    </row>
    <row r="657" spans="1:4">
      <c r="A657" s="50">
        <f t="shared" si="195"/>
        <v>656</v>
      </c>
      <c r="B657" s="51">
        <v>45798</v>
      </c>
      <c r="C657" s="1" t="s">
        <v>23</v>
      </c>
      <c r="D657" s="52">
        <v>131</v>
      </c>
    </row>
    <row r="658" spans="1:4">
      <c r="A658" s="53">
        <f t="shared" si="195"/>
        <v>657</v>
      </c>
      <c r="B658" s="54">
        <v>45798</v>
      </c>
      <c r="C658" s="55" t="s">
        <v>26</v>
      </c>
      <c r="D658" s="56">
        <v>49</v>
      </c>
    </row>
    <row r="659" spans="1:4">
      <c r="A659" s="50">
        <f t="shared" ref="A659:A661" si="196">IF(B659="","",ROW(A658))</f>
        <v>658</v>
      </c>
      <c r="B659" s="51">
        <v>45799</v>
      </c>
      <c r="C659" s="1" t="s">
        <v>45</v>
      </c>
      <c r="D659" s="52">
        <v>20</v>
      </c>
    </row>
    <row r="660" spans="1:4">
      <c r="A660" s="50">
        <f t="shared" si="196"/>
        <v>659</v>
      </c>
      <c r="B660" s="51">
        <v>45799</v>
      </c>
      <c r="C660" s="1" t="s">
        <v>23</v>
      </c>
      <c r="D660" s="52">
        <v>131</v>
      </c>
    </row>
    <row r="661" spans="1:4">
      <c r="A661" s="53">
        <f t="shared" si="196"/>
        <v>660</v>
      </c>
      <c r="B661" s="54">
        <v>45799</v>
      </c>
      <c r="C661" s="55" t="s">
        <v>26</v>
      </c>
      <c r="D661" s="56">
        <v>49</v>
      </c>
    </row>
    <row r="662" spans="1:4">
      <c r="A662" s="50">
        <f t="shared" ref="A662:A664" si="197">IF(B662="","",ROW(A661))</f>
        <v>661</v>
      </c>
      <c r="B662" s="51">
        <v>45800</v>
      </c>
      <c r="C662" s="1" t="s">
        <v>23</v>
      </c>
      <c r="D662" s="52">
        <v>131</v>
      </c>
    </row>
    <row r="663" spans="1:4">
      <c r="A663" s="50">
        <f t="shared" si="197"/>
        <v>662</v>
      </c>
      <c r="B663" s="51">
        <v>45800</v>
      </c>
      <c r="C663" s="1" t="s">
        <v>45</v>
      </c>
      <c r="D663" s="52">
        <v>20</v>
      </c>
    </row>
    <row r="664" spans="1:4">
      <c r="A664" s="53">
        <f t="shared" si="197"/>
        <v>663</v>
      </c>
      <c r="B664" s="54">
        <v>45800</v>
      </c>
      <c r="C664" s="55" t="s">
        <v>26</v>
      </c>
      <c r="D664" s="56">
        <v>49</v>
      </c>
    </row>
    <row r="665" spans="1:4">
      <c r="A665" s="50">
        <f t="shared" ref="A665:A667" si="198">IF(B665="","",ROW(A664))</f>
        <v>664</v>
      </c>
      <c r="B665" s="51">
        <v>45801</v>
      </c>
      <c r="C665" s="1" t="s">
        <v>45</v>
      </c>
      <c r="D665" s="52">
        <v>20</v>
      </c>
    </row>
    <row r="666" spans="1:4">
      <c r="A666" s="50">
        <f t="shared" si="198"/>
        <v>665</v>
      </c>
      <c r="B666" s="51">
        <v>45801</v>
      </c>
      <c r="C666" s="1" t="s">
        <v>26</v>
      </c>
      <c r="D666" s="52">
        <v>49</v>
      </c>
    </row>
    <row r="667" spans="1:4">
      <c r="A667" s="53">
        <f t="shared" si="198"/>
        <v>666</v>
      </c>
      <c r="B667" s="54">
        <v>45801</v>
      </c>
      <c r="C667" s="55" t="s">
        <v>23</v>
      </c>
      <c r="D667" s="56">
        <v>131</v>
      </c>
    </row>
    <row r="668" spans="1:4">
      <c r="A668" s="50">
        <f t="shared" ref="A668:A670" si="199">IF(B668="","",ROW(A667))</f>
        <v>667</v>
      </c>
      <c r="B668" s="51">
        <v>45802</v>
      </c>
      <c r="C668" s="1" t="s">
        <v>45</v>
      </c>
      <c r="D668" s="52">
        <v>20</v>
      </c>
    </row>
    <row r="669" spans="1:4">
      <c r="A669" s="50">
        <f t="shared" si="199"/>
        <v>668</v>
      </c>
      <c r="B669" s="51">
        <v>45802</v>
      </c>
      <c r="C669" s="1" t="s">
        <v>26</v>
      </c>
      <c r="D669" s="52">
        <v>49</v>
      </c>
    </row>
    <row r="670" spans="1:4">
      <c r="A670" s="53">
        <f t="shared" si="199"/>
        <v>669</v>
      </c>
      <c r="B670" s="54">
        <v>45802</v>
      </c>
      <c r="C670" s="55" t="s">
        <v>23</v>
      </c>
      <c r="D670" s="56">
        <v>131</v>
      </c>
    </row>
    <row r="671" spans="1:4">
      <c r="A671" s="50">
        <f t="shared" ref="A671:A673" si="200">IF(B671="","",ROW(A670))</f>
        <v>670</v>
      </c>
      <c r="B671" s="51">
        <v>45803</v>
      </c>
      <c r="C671" s="1" t="s">
        <v>45</v>
      </c>
      <c r="D671" s="52">
        <v>20</v>
      </c>
    </row>
    <row r="672" spans="1:4">
      <c r="A672" s="50">
        <f t="shared" si="200"/>
        <v>671</v>
      </c>
      <c r="B672" s="51">
        <v>45803</v>
      </c>
      <c r="C672" s="1" t="s">
        <v>23</v>
      </c>
      <c r="D672" s="52">
        <v>131</v>
      </c>
    </row>
    <row r="673" spans="1:4">
      <c r="A673" s="53">
        <f t="shared" si="200"/>
        <v>672</v>
      </c>
      <c r="B673" s="54">
        <v>45803</v>
      </c>
      <c r="C673" s="55" t="s">
        <v>26</v>
      </c>
      <c r="D673" s="56">
        <v>49</v>
      </c>
    </row>
    <row r="674" spans="1:4">
      <c r="A674" s="50">
        <f t="shared" ref="A674:A676" si="201">IF(B674="","",ROW(A673))</f>
        <v>673</v>
      </c>
      <c r="B674" s="51">
        <v>45804</v>
      </c>
      <c r="C674" s="1" t="s">
        <v>45</v>
      </c>
      <c r="D674" s="52">
        <v>20</v>
      </c>
    </row>
    <row r="675" spans="1:4">
      <c r="A675" s="50">
        <f t="shared" si="201"/>
        <v>674</v>
      </c>
      <c r="B675" s="51">
        <v>45804</v>
      </c>
      <c r="C675" s="1" t="s">
        <v>23</v>
      </c>
      <c r="D675" s="52">
        <v>131</v>
      </c>
    </row>
    <row r="676" spans="1:4">
      <c r="A676" s="53">
        <f t="shared" si="201"/>
        <v>675</v>
      </c>
      <c r="B676" s="54">
        <v>45804</v>
      </c>
      <c r="C676" s="55" t="s">
        <v>26</v>
      </c>
      <c r="D676" s="56">
        <v>49</v>
      </c>
    </row>
    <row r="677" spans="1:4">
      <c r="A677" s="50">
        <f t="shared" ref="A677:A679" si="202">IF(B677="","",ROW(A676))</f>
        <v>676</v>
      </c>
      <c r="B677" s="51">
        <v>45805</v>
      </c>
      <c r="C677" s="1" t="s">
        <v>45</v>
      </c>
      <c r="D677" s="52">
        <v>20</v>
      </c>
    </row>
    <row r="678" spans="1:4">
      <c r="A678" s="50">
        <f t="shared" si="202"/>
        <v>677</v>
      </c>
      <c r="B678" s="51">
        <v>45805</v>
      </c>
      <c r="C678" s="1" t="s">
        <v>26</v>
      </c>
      <c r="D678" s="52">
        <v>49</v>
      </c>
    </row>
    <row r="679" spans="1:4">
      <c r="A679" s="53">
        <f t="shared" si="202"/>
        <v>678</v>
      </c>
      <c r="B679" s="54">
        <v>45805</v>
      </c>
      <c r="C679" s="55" t="s">
        <v>23</v>
      </c>
      <c r="D679" s="56">
        <v>131</v>
      </c>
    </row>
    <row r="680" spans="1:4">
      <c r="A680" s="50">
        <f t="shared" ref="A680:A682" si="203">IF(B680="","",ROW(A679))</f>
        <v>679</v>
      </c>
      <c r="B680" s="51">
        <v>45806</v>
      </c>
      <c r="C680" s="1" t="s">
        <v>26</v>
      </c>
      <c r="D680" s="52">
        <v>49</v>
      </c>
    </row>
    <row r="681" spans="1:4">
      <c r="A681" s="50">
        <f t="shared" si="203"/>
        <v>680</v>
      </c>
      <c r="B681" s="51">
        <v>45806</v>
      </c>
      <c r="C681" s="1" t="s">
        <v>23</v>
      </c>
      <c r="D681" s="52">
        <v>131</v>
      </c>
    </row>
    <row r="682" spans="1:4">
      <c r="A682" s="53">
        <f t="shared" si="203"/>
        <v>681</v>
      </c>
      <c r="B682" s="54">
        <v>45806</v>
      </c>
      <c r="C682" s="55" t="s">
        <v>45</v>
      </c>
      <c r="D682" s="56">
        <v>20</v>
      </c>
    </row>
    <row r="683" spans="1:4">
      <c r="A683" s="50">
        <f t="shared" ref="A683:A685" si="204">IF(B683="","",ROW(A682))</f>
        <v>682</v>
      </c>
      <c r="B683" s="51">
        <v>45807</v>
      </c>
      <c r="C683" s="1" t="s">
        <v>45</v>
      </c>
      <c r="D683" s="52">
        <v>20</v>
      </c>
    </row>
    <row r="684" spans="1:4">
      <c r="A684" s="50">
        <f t="shared" si="204"/>
        <v>683</v>
      </c>
      <c r="B684" s="51">
        <v>45807</v>
      </c>
      <c r="C684" s="1" t="s">
        <v>23</v>
      </c>
      <c r="D684" s="52">
        <v>131</v>
      </c>
    </row>
    <row r="685" spans="1:4">
      <c r="A685" s="53">
        <f t="shared" si="204"/>
        <v>684</v>
      </c>
      <c r="B685" s="54">
        <v>45807</v>
      </c>
      <c r="C685" s="55" t="s">
        <v>26</v>
      </c>
      <c r="D685" s="56">
        <v>49</v>
      </c>
    </row>
    <row r="686" spans="1:4">
      <c r="A686" s="50">
        <f t="shared" ref="A686:A688" si="205">IF(B686="","",ROW(A685))</f>
        <v>685</v>
      </c>
      <c r="B686" s="51">
        <v>45808</v>
      </c>
      <c r="C686" s="1" t="s">
        <v>45</v>
      </c>
      <c r="D686" s="52">
        <v>20</v>
      </c>
    </row>
    <row r="687" spans="1:4">
      <c r="A687" s="50">
        <f t="shared" si="205"/>
        <v>686</v>
      </c>
      <c r="B687" s="51">
        <v>45808</v>
      </c>
      <c r="C687" s="1" t="s">
        <v>23</v>
      </c>
      <c r="D687" s="52">
        <v>131</v>
      </c>
    </row>
    <row r="688" spans="1:4">
      <c r="A688" s="53">
        <f t="shared" si="205"/>
        <v>687</v>
      </c>
      <c r="B688" s="54">
        <v>45808</v>
      </c>
      <c r="C688" s="55" t="s">
        <v>26</v>
      </c>
      <c r="D688" s="56">
        <v>49</v>
      </c>
    </row>
    <row r="689" spans="1:4">
      <c r="A689" s="50">
        <f t="shared" ref="A689:A691" si="206">IF(B689="","",ROW(A688))</f>
        <v>688</v>
      </c>
      <c r="B689" s="51">
        <v>45809</v>
      </c>
      <c r="C689" s="1" t="s">
        <v>45</v>
      </c>
      <c r="D689" s="52">
        <v>20</v>
      </c>
    </row>
    <row r="690" spans="1:4">
      <c r="A690" s="50">
        <f t="shared" si="206"/>
        <v>689</v>
      </c>
      <c r="B690" s="51">
        <v>45809</v>
      </c>
      <c r="C690" s="1" t="s">
        <v>23</v>
      </c>
      <c r="D690" s="52">
        <v>131</v>
      </c>
    </row>
    <row r="691" spans="1:4">
      <c r="A691" s="53">
        <f t="shared" si="206"/>
        <v>690</v>
      </c>
      <c r="B691" s="54">
        <v>45809</v>
      </c>
      <c r="C691" s="55" t="s">
        <v>26</v>
      </c>
      <c r="D691" s="56">
        <v>49</v>
      </c>
    </row>
    <row r="692" spans="1:4">
      <c r="A692" s="50">
        <f t="shared" ref="A692:A694" si="207">IF(B692="","",ROW(A691))</f>
        <v>691</v>
      </c>
      <c r="B692" s="51">
        <v>45810</v>
      </c>
      <c r="C692" s="1" t="s">
        <v>26</v>
      </c>
      <c r="D692" s="52">
        <v>49</v>
      </c>
    </row>
    <row r="693" spans="1:4">
      <c r="A693" s="50">
        <f t="shared" si="207"/>
        <v>692</v>
      </c>
      <c r="B693" s="51">
        <v>45810</v>
      </c>
      <c r="C693" s="1" t="s">
        <v>23</v>
      </c>
      <c r="D693" s="52">
        <v>131</v>
      </c>
    </row>
    <row r="694" spans="1:4">
      <c r="A694" s="53">
        <f t="shared" si="207"/>
        <v>693</v>
      </c>
      <c r="B694" s="54">
        <v>45810</v>
      </c>
      <c r="C694" s="55" t="s">
        <v>45</v>
      </c>
      <c r="D694" s="56">
        <v>20</v>
      </c>
    </row>
    <row r="695" spans="1:4">
      <c r="A695" s="50">
        <f t="shared" ref="A695:A697" si="208">IF(B695="","",ROW(A694))</f>
        <v>694</v>
      </c>
      <c r="B695" s="51">
        <v>45811</v>
      </c>
      <c r="C695" s="1" t="s">
        <v>26</v>
      </c>
      <c r="D695" s="52">
        <v>49</v>
      </c>
    </row>
    <row r="696" spans="1:4">
      <c r="A696" s="50">
        <f t="shared" si="208"/>
        <v>695</v>
      </c>
      <c r="B696" s="51">
        <v>45811</v>
      </c>
      <c r="C696" s="1" t="s">
        <v>45</v>
      </c>
      <c r="D696" s="52">
        <v>20</v>
      </c>
    </row>
    <row r="697" spans="1:4">
      <c r="A697" s="53">
        <f t="shared" si="208"/>
        <v>696</v>
      </c>
      <c r="B697" s="54">
        <v>45811</v>
      </c>
      <c r="C697" s="55" t="s">
        <v>23</v>
      </c>
      <c r="D697" s="56">
        <v>131</v>
      </c>
    </row>
    <row r="698" spans="1:4">
      <c r="A698" s="50">
        <f t="shared" ref="A698:A700" si="209">IF(B698="","",ROW(A697))</f>
        <v>697</v>
      </c>
      <c r="B698" s="51">
        <v>45812</v>
      </c>
      <c r="C698" s="1" t="s">
        <v>45</v>
      </c>
      <c r="D698" s="52">
        <v>20</v>
      </c>
    </row>
    <row r="699" spans="1:4">
      <c r="A699" s="50">
        <f t="shared" si="209"/>
        <v>698</v>
      </c>
      <c r="B699" s="51">
        <v>45812</v>
      </c>
      <c r="C699" s="1" t="s">
        <v>26</v>
      </c>
      <c r="D699" s="52">
        <v>49</v>
      </c>
    </row>
    <row r="700" spans="1:4">
      <c r="A700" s="53">
        <f t="shared" si="209"/>
        <v>699</v>
      </c>
      <c r="B700" s="54">
        <v>45812</v>
      </c>
      <c r="C700" s="55" t="s">
        <v>23</v>
      </c>
      <c r="D700" s="56">
        <v>131</v>
      </c>
    </row>
    <row r="701" spans="1:4">
      <c r="A701" s="50">
        <f t="shared" ref="A701:A703" si="210">IF(B701="","",ROW(A700))</f>
        <v>700</v>
      </c>
      <c r="B701" s="51">
        <v>45813</v>
      </c>
      <c r="C701" s="1" t="s">
        <v>26</v>
      </c>
      <c r="D701" s="52">
        <v>49</v>
      </c>
    </row>
    <row r="702" spans="1:4">
      <c r="A702" s="50">
        <f t="shared" si="210"/>
        <v>701</v>
      </c>
      <c r="B702" s="51">
        <v>45813</v>
      </c>
      <c r="C702" s="1" t="s">
        <v>45</v>
      </c>
      <c r="D702" s="52">
        <v>20</v>
      </c>
    </row>
    <row r="703" spans="1:4">
      <c r="A703" s="53">
        <f t="shared" si="210"/>
        <v>702</v>
      </c>
      <c r="B703" s="54">
        <v>45813</v>
      </c>
      <c r="C703" s="55" t="s">
        <v>23</v>
      </c>
      <c r="D703" s="56">
        <v>131</v>
      </c>
    </row>
    <row r="704" spans="1:4">
      <c r="A704" s="50">
        <f t="shared" ref="A704:A706" si="211">IF(B704="","",ROW(A703))</f>
        <v>703</v>
      </c>
      <c r="B704" s="51">
        <v>45814</v>
      </c>
      <c r="C704" s="1" t="s">
        <v>45</v>
      </c>
      <c r="D704" s="52">
        <v>20</v>
      </c>
    </row>
    <row r="705" spans="1:4">
      <c r="A705" s="50">
        <f t="shared" si="211"/>
        <v>704</v>
      </c>
      <c r="B705" s="51">
        <v>45814</v>
      </c>
      <c r="C705" s="1" t="s">
        <v>26</v>
      </c>
      <c r="D705" s="52">
        <v>49</v>
      </c>
    </row>
    <row r="706" spans="1:4">
      <c r="A706" s="53">
        <f t="shared" si="211"/>
        <v>705</v>
      </c>
      <c r="B706" s="54">
        <v>45814</v>
      </c>
      <c r="C706" s="55" t="s">
        <v>23</v>
      </c>
      <c r="D706" s="56">
        <v>131</v>
      </c>
    </row>
    <row r="707" spans="1:4">
      <c r="A707" s="50">
        <f t="shared" ref="A707:A709" si="212">IF(B707="","",ROW(A706))</f>
        <v>706</v>
      </c>
      <c r="B707" s="51">
        <v>45815</v>
      </c>
      <c r="C707" s="1" t="s">
        <v>23</v>
      </c>
      <c r="D707" s="52">
        <v>131</v>
      </c>
    </row>
    <row r="708" spans="1:4">
      <c r="A708" s="50">
        <f t="shared" si="212"/>
        <v>707</v>
      </c>
      <c r="B708" s="51">
        <v>45815</v>
      </c>
      <c r="C708" s="1" t="s">
        <v>45</v>
      </c>
      <c r="D708" s="52">
        <v>20</v>
      </c>
    </row>
    <row r="709" spans="1:4">
      <c r="A709" s="53">
        <f t="shared" si="212"/>
        <v>708</v>
      </c>
      <c r="B709" s="54">
        <v>45815</v>
      </c>
      <c r="C709" s="55" t="s">
        <v>26</v>
      </c>
      <c r="D709" s="56">
        <v>49</v>
      </c>
    </row>
    <row r="710" spans="1:4">
      <c r="A710" s="50">
        <f t="shared" ref="A710:A712" si="213">IF(B710="","",ROW(A709))</f>
        <v>709</v>
      </c>
      <c r="B710" s="51">
        <v>45816</v>
      </c>
      <c r="C710" s="1" t="s">
        <v>45</v>
      </c>
      <c r="D710" s="52">
        <v>20</v>
      </c>
    </row>
    <row r="711" spans="1:4">
      <c r="A711" s="50">
        <f t="shared" si="213"/>
        <v>710</v>
      </c>
      <c r="B711" s="51">
        <v>45816</v>
      </c>
      <c r="C711" s="1" t="s">
        <v>26</v>
      </c>
      <c r="D711" s="52">
        <v>49</v>
      </c>
    </row>
    <row r="712" spans="1:4">
      <c r="A712" s="53">
        <f t="shared" si="213"/>
        <v>711</v>
      </c>
      <c r="B712" s="54">
        <v>45816</v>
      </c>
      <c r="C712" s="55" t="s">
        <v>23</v>
      </c>
      <c r="D712" s="56">
        <v>131</v>
      </c>
    </row>
    <row r="713" spans="1:4">
      <c r="A713" s="50">
        <f t="shared" ref="A713:A715" si="214">IF(B713="","",ROW(A712))</f>
        <v>712</v>
      </c>
      <c r="B713" s="51">
        <v>45817</v>
      </c>
      <c r="C713" s="1" t="s">
        <v>23</v>
      </c>
      <c r="D713" s="52">
        <v>131</v>
      </c>
    </row>
    <row r="714" spans="1:4">
      <c r="A714" s="50">
        <f t="shared" si="214"/>
        <v>713</v>
      </c>
      <c r="B714" s="51">
        <v>45817</v>
      </c>
      <c r="C714" s="1" t="s">
        <v>45</v>
      </c>
      <c r="D714" s="52">
        <v>20</v>
      </c>
    </row>
    <row r="715" spans="1:4">
      <c r="A715" s="53">
        <f t="shared" si="214"/>
        <v>714</v>
      </c>
      <c r="B715" s="54">
        <v>45817</v>
      </c>
      <c r="C715" s="55" t="s">
        <v>26</v>
      </c>
      <c r="D715" s="56">
        <v>49</v>
      </c>
    </row>
    <row r="716" spans="1:4">
      <c r="A716" s="50">
        <f t="shared" ref="A716:A718" si="215">IF(B716="","",ROW(A715))</f>
        <v>715</v>
      </c>
      <c r="B716" s="51">
        <v>45818</v>
      </c>
      <c r="C716" s="1" t="s">
        <v>23</v>
      </c>
      <c r="D716" s="52">
        <v>131</v>
      </c>
    </row>
    <row r="717" spans="1:4">
      <c r="A717" s="50">
        <f t="shared" si="215"/>
        <v>716</v>
      </c>
      <c r="B717" s="51">
        <v>45818</v>
      </c>
      <c r="C717" s="1" t="s">
        <v>26</v>
      </c>
      <c r="D717" s="52">
        <v>49</v>
      </c>
    </row>
    <row r="718" spans="1:4">
      <c r="A718" s="53">
        <f t="shared" si="215"/>
        <v>717</v>
      </c>
      <c r="B718" s="54">
        <v>45818</v>
      </c>
      <c r="C718" s="55" t="s">
        <v>45</v>
      </c>
      <c r="D718" s="56">
        <v>20</v>
      </c>
    </row>
    <row r="719" spans="1:4">
      <c r="A719" s="50">
        <f t="shared" ref="A719:A721" si="216">IF(B719="","",ROW(A718))</f>
        <v>718</v>
      </c>
      <c r="B719" s="51">
        <v>45819</v>
      </c>
      <c r="C719" s="1" t="s">
        <v>23</v>
      </c>
      <c r="D719" s="52">
        <v>131</v>
      </c>
    </row>
    <row r="720" spans="1:4">
      <c r="A720" s="50">
        <f t="shared" si="216"/>
        <v>719</v>
      </c>
      <c r="B720" s="51">
        <v>45819</v>
      </c>
      <c r="C720" s="1" t="s">
        <v>26</v>
      </c>
      <c r="D720" s="52">
        <v>49</v>
      </c>
    </row>
    <row r="721" spans="1:4">
      <c r="A721" s="53">
        <f t="shared" si="216"/>
        <v>720</v>
      </c>
      <c r="B721" s="54">
        <v>45819</v>
      </c>
      <c r="C721" s="55" t="s">
        <v>45</v>
      </c>
      <c r="D721" s="56">
        <v>20</v>
      </c>
    </row>
    <row r="722" spans="1:4">
      <c r="A722" s="50">
        <f t="shared" ref="A722:A724" si="217">IF(B722="","",ROW(A721))</f>
        <v>721</v>
      </c>
      <c r="B722" s="51">
        <v>45820</v>
      </c>
      <c r="C722" s="1" t="s">
        <v>26</v>
      </c>
      <c r="D722" s="52">
        <v>49</v>
      </c>
    </row>
    <row r="723" spans="1:4">
      <c r="A723" s="50">
        <f t="shared" si="217"/>
        <v>722</v>
      </c>
      <c r="B723" s="51">
        <v>45820</v>
      </c>
      <c r="C723" s="1" t="s">
        <v>23</v>
      </c>
      <c r="D723" s="52">
        <v>131</v>
      </c>
    </row>
    <row r="724" spans="1:4">
      <c r="A724" s="53">
        <f t="shared" si="217"/>
        <v>723</v>
      </c>
      <c r="B724" s="54">
        <v>45820</v>
      </c>
      <c r="C724" s="55" t="s">
        <v>45</v>
      </c>
      <c r="D724" s="56">
        <v>20</v>
      </c>
    </row>
    <row r="725" spans="1:4">
      <c r="A725" s="50">
        <f t="shared" ref="A725:A727" si="218">IF(B725="","",ROW(A724))</f>
        <v>724</v>
      </c>
      <c r="B725" s="51">
        <v>45821</v>
      </c>
      <c r="C725" s="1" t="s">
        <v>23</v>
      </c>
      <c r="D725" s="52">
        <v>131</v>
      </c>
    </row>
    <row r="726" spans="1:4">
      <c r="A726" s="50">
        <f t="shared" si="218"/>
        <v>725</v>
      </c>
      <c r="B726" s="51">
        <v>45821</v>
      </c>
      <c r="C726" s="1" t="s">
        <v>26</v>
      </c>
      <c r="D726" s="52">
        <v>49</v>
      </c>
    </row>
    <row r="727" spans="1:4">
      <c r="A727" s="53">
        <f t="shared" si="218"/>
        <v>726</v>
      </c>
      <c r="B727" s="54">
        <v>45821</v>
      </c>
      <c r="C727" s="55" t="s">
        <v>45</v>
      </c>
      <c r="D727" s="56">
        <v>20</v>
      </c>
    </row>
    <row r="728" spans="1:4">
      <c r="A728" s="50">
        <f t="shared" ref="A728:A730" si="219">IF(B728="","",ROW(A727))</f>
        <v>727</v>
      </c>
      <c r="B728" s="51">
        <v>45822</v>
      </c>
      <c r="C728" s="1" t="s">
        <v>45</v>
      </c>
      <c r="D728" s="52">
        <v>20</v>
      </c>
    </row>
    <row r="729" spans="1:4">
      <c r="A729" s="50">
        <f t="shared" si="219"/>
        <v>728</v>
      </c>
      <c r="B729" s="51">
        <v>45822</v>
      </c>
      <c r="C729" s="1" t="s">
        <v>26</v>
      </c>
      <c r="D729" s="52">
        <v>49</v>
      </c>
    </row>
    <row r="730" spans="1:4">
      <c r="A730" s="53">
        <f t="shared" si="219"/>
        <v>729</v>
      </c>
      <c r="B730" s="54">
        <v>45822</v>
      </c>
      <c r="C730" s="55" t="s">
        <v>23</v>
      </c>
      <c r="D730" s="56">
        <v>131</v>
      </c>
    </row>
    <row r="731" spans="1:4">
      <c r="A731" s="50">
        <f t="shared" ref="A731:A733" si="220">IF(B731="","",ROW(A730))</f>
        <v>730</v>
      </c>
      <c r="B731" s="51">
        <v>45823</v>
      </c>
      <c r="C731" s="1" t="s">
        <v>45</v>
      </c>
      <c r="D731" s="52">
        <v>20</v>
      </c>
    </row>
    <row r="732" spans="1:4">
      <c r="A732" s="50">
        <f t="shared" si="220"/>
        <v>731</v>
      </c>
      <c r="B732" s="51">
        <v>45823</v>
      </c>
      <c r="C732" s="1" t="s">
        <v>26</v>
      </c>
      <c r="D732" s="52">
        <v>49</v>
      </c>
    </row>
    <row r="733" spans="1:4">
      <c r="A733" s="53">
        <f t="shared" si="220"/>
        <v>732</v>
      </c>
      <c r="B733" s="54">
        <v>45823</v>
      </c>
      <c r="C733" s="55" t="s">
        <v>23</v>
      </c>
      <c r="D733" s="56">
        <v>131</v>
      </c>
    </row>
    <row r="734" spans="1:4">
      <c r="A734" s="50">
        <f t="shared" ref="A734:A736" si="221">IF(B734="","",ROW(A733))</f>
        <v>733</v>
      </c>
      <c r="B734" s="51">
        <v>45824</v>
      </c>
      <c r="C734" s="1" t="s">
        <v>23</v>
      </c>
      <c r="D734" s="52">
        <v>131</v>
      </c>
    </row>
    <row r="735" spans="1:4">
      <c r="A735" s="50">
        <f t="shared" si="221"/>
        <v>734</v>
      </c>
      <c r="B735" s="51">
        <v>45824</v>
      </c>
      <c r="C735" s="1" t="s">
        <v>45</v>
      </c>
      <c r="D735" s="52">
        <v>20</v>
      </c>
    </row>
    <row r="736" spans="1:4">
      <c r="A736" s="53">
        <f t="shared" si="221"/>
        <v>735</v>
      </c>
      <c r="B736" s="54">
        <v>45824</v>
      </c>
      <c r="C736" s="55" t="s">
        <v>26</v>
      </c>
      <c r="D736" s="56">
        <v>49</v>
      </c>
    </row>
    <row r="737" spans="1:4">
      <c r="A737" s="50">
        <f t="shared" ref="A737:A739" si="222">IF(B737="","",ROW(A736))</f>
        <v>736</v>
      </c>
      <c r="B737" s="51">
        <v>45825</v>
      </c>
      <c r="C737" s="1" t="s">
        <v>26</v>
      </c>
      <c r="D737" s="52">
        <v>49</v>
      </c>
    </row>
    <row r="738" spans="1:4">
      <c r="A738" s="50">
        <f t="shared" si="222"/>
        <v>737</v>
      </c>
      <c r="B738" s="51">
        <v>45825</v>
      </c>
      <c r="C738" s="1" t="s">
        <v>45</v>
      </c>
      <c r="D738" s="52">
        <v>20</v>
      </c>
    </row>
    <row r="739" spans="1:4">
      <c r="A739" s="53">
        <f t="shared" si="222"/>
        <v>738</v>
      </c>
      <c r="B739" s="54">
        <v>45825</v>
      </c>
      <c r="C739" s="55" t="s">
        <v>23</v>
      </c>
      <c r="D739" s="56">
        <v>131</v>
      </c>
    </row>
    <row r="740" spans="1:4">
      <c r="A740" s="50">
        <f t="shared" ref="A740:A742" si="223">IF(B740="","",ROW(A739))</f>
        <v>739</v>
      </c>
      <c r="B740" s="51">
        <v>45826</v>
      </c>
      <c r="C740" s="1" t="s">
        <v>26</v>
      </c>
      <c r="D740" s="52">
        <v>49</v>
      </c>
    </row>
    <row r="741" spans="1:4">
      <c r="A741" s="50">
        <f t="shared" si="223"/>
        <v>740</v>
      </c>
      <c r="B741" s="51">
        <v>45826</v>
      </c>
      <c r="C741" s="1" t="s">
        <v>45</v>
      </c>
      <c r="D741" s="52">
        <v>20</v>
      </c>
    </row>
    <row r="742" spans="1:4">
      <c r="A742" s="53">
        <f t="shared" si="223"/>
        <v>741</v>
      </c>
      <c r="B742" s="54">
        <v>45826</v>
      </c>
      <c r="C742" s="55" t="s">
        <v>23</v>
      </c>
      <c r="D742" s="56">
        <v>131</v>
      </c>
    </row>
    <row r="743" spans="1:4">
      <c r="A743" s="50">
        <f t="shared" ref="A743:A745" si="224">IF(B743="","",ROW(A742))</f>
        <v>742</v>
      </c>
      <c r="B743" s="51">
        <v>45827</v>
      </c>
      <c r="C743" s="1" t="s">
        <v>23</v>
      </c>
      <c r="D743" s="52">
        <v>131</v>
      </c>
    </row>
    <row r="744" spans="1:4">
      <c r="A744" s="50">
        <f t="shared" si="224"/>
        <v>743</v>
      </c>
      <c r="B744" s="51">
        <v>45827</v>
      </c>
      <c r="C744" s="1" t="s">
        <v>26</v>
      </c>
      <c r="D744" s="52">
        <v>49</v>
      </c>
    </row>
    <row r="745" spans="1:4">
      <c r="A745" s="53">
        <f t="shared" si="224"/>
        <v>744</v>
      </c>
      <c r="B745" s="54">
        <v>45827</v>
      </c>
      <c r="C745" s="55" t="s">
        <v>45</v>
      </c>
      <c r="D745" s="56">
        <v>20</v>
      </c>
    </row>
    <row r="746" spans="1:4">
      <c r="A746" s="50">
        <f t="shared" ref="A746:A748" si="225">IF(B746="","",ROW(A745))</f>
        <v>745</v>
      </c>
      <c r="B746" s="51">
        <v>45828</v>
      </c>
      <c r="C746" s="1" t="s">
        <v>45</v>
      </c>
      <c r="D746" s="52">
        <v>20</v>
      </c>
    </row>
    <row r="747" spans="1:4">
      <c r="A747" s="50">
        <f t="shared" si="225"/>
        <v>746</v>
      </c>
      <c r="B747" s="51">
        <v>45828</v>
      </c>
      <c r="C747" s="1" t="s">
        <v>26</v>
      </c>
      <c r="D747" s="52">
        <v>49</v>
      </c>
    </row>
    <row r="748" spans="1:4">
      <c r="A748" s="53">
        <f t="shared" si="225"/>
        <v>747</v>
      </c>
      <c r="B748" s="54">
        <v>45828</v>
      </c>
      <c r="C748" s="55" t="s">
        <v>23</v>
      </c>
      <c r="D748" s="56">
        <v>131</v>
      </c>
    </row>
    <row r="749" spans="1:4">
      <c r="A749" s="50">
        <f t="shared" ref="A749:A751" si="226">IF(B749="","",ROW(A748))</f>
        <v>748</v>
      </c>
      <c r="B749" s="51">
        <v>45829</v>
      </c>
      <c r="C749" s="1" t="s">
        <v>26</v>
      </c>
      <c r="D749" s="52">
        <v>49</v>
      </c>
    </row>
    <row r="750" spans="1:4">
      <c r="A750" s="50">
        <f t="shared" si="226"/>
        <v>749</v>
      </c>
      <c r="B750" s="51">
        <v>45829</v>
      </c>
      <c r="C750" s="1" t="s">
        <v>45</v>
      </c>
      <c r="D750" s="52">
        <v>20</v>
      </c>
    </row>
    <row r="751" spans="1:4">
      <c r="A751" s="53">
        <f t="shared" si="226"/>
        <v>750</v>
      </c>
      <c r="B751" s="54">
        <v>45829</v>
      </c>
      <c r="C751" s="55" t="s">
        <v>23</v>
      </c>
      <c r="D751" s="56">
        <v>131</v>
      </c>
    </row>
    <row r="752" spans="1:4">
      <c r="A752" s="50">
        <f t="shared" ref="A752:A754" si="227">IF(B752="","",ROW(A751))</f>
        <v>751</v>
      </c>
      <c r="B752" s="51">
        <v>45830</v>
      </c>
      <c r="C752" s="1" t="s">
        <v>45</v>
      </c>
      <c r="D752" s="52">
        <v>20</v>
      </c>
    </row>
    <row r="753" spans="1:4">
      <c r="A753" s="50">
        <f t="shared" si="227"/>
        <v>752</v>
      </c>
      <c r="B753" s="51">
        <v>45830</v>
      </c>
      <c r="C753" s="1" t="s">
        <v>23</v>
      </c>
      <c r="D753" s="52">
        <v>131</v>
      </c>
    </row>
    <row r="754" spans="1:4">
      <c r="A754" s="53">
        <f t="shared" si="227"/>
        <v>753</v>
      </c>
      <c r="B754" s="54">
        <v>45830</v>
      </c>
      <c r="C754" s="55" t="s">
        <v>26</v>
      </c>
      <c r="D754" s="56">
        <v>49</v>
      </c>
    </row>
    <row r="755" spans="1:4">
      <c r="A755" s="50">
        <f t="shared" ref="A755:A757" si="228">IF(B755="","",ROW(A754))</f>
        <v>754</v>
      </c>
      <c r="B755" s="51">
        <v>45831</v>
      </c>
      <c r="C755" s="1" t="s">
        <v>45</v>
      </c>
      <c r="D755" s="52">
        <v>20</v>
      </c>
    </row>
    <row r="756" spans="1:4">
      <c r="A756" s="50">
        <f t="shared" si="228"/>
        <v>755</v>
      </c>
      <c r="B756" s="51">
        <v>45831</v>
      </c>
      <c r="C756" s="1" t="s">
        <v>23</v>
      </c>
      <c r="D756" s="52">
        <v>131</v>
      </c>
    </row>
    <row r="757" spans="1:4">
      <c r="A757" s="53">
        <f t="shared" si="228"/>
        <v>756</v>
      </c>
      <c r="B757" s="54">
        <v>45831</v>
      </c>
      <c r="C757" s="55" t="s">
        <v>26</v>
      </c>
      <c r="D757" s="56">
        <v>49</v>
      </c>
    </row>
    <row r="758" spans="1:4">
      <c r="A758" s="50">
        <f t="shared" ref="A758:A760" si="229">IF(B758="","",ROW(A757))</f>
        <v>757</v>
      </c>
      <c r="B758" s="51">
        <v>45832</v>
      </c>
      <c r="C758" s="1" t="s">
        <v>45</v>
      </c>
      <c r="D758" s="52">
        <v>20</v>
      </c>
    </row>
    <row r="759" spans="1:4">
      <c r="A759" s="50">
        <f t="shared" si="229"/>
        <v>758</v>
      </c>
      <c r="B759" s="51">
        <v>45832</v>
      </c>
      <c r="C759" s="1" t="s">
        <v>23</v>
      </c>
      <c r="D759" s="52">
        <v>131</v>
      </c>
    </row>
    <row r="760" spans="1:4">
      <c r="A760" s="53">
        <f t="shared" si="229"/>
        <v>759</v>
      </c>
      <c r="B760" s="54">
        <v>45832</v>
      </c>
      <c r="C760" s="55" t="s">
        <v>26</v>
      </c>
      <c r="D760" s="56">
        <v>49</v>
      </c>
    </row>
    <row r="761" spans="1:4">
      <c r="A761" s="50">
        <f t="shared" ref="A761:A763" si="230">IF(B761="","",ROW(A760))</f>
        <v>760</v>
      </c>
      <c r="B761" s="51">
        <v>45833</v>
      </c>
      <c r="C761" s="1" t="s">
        <v>23</v>
      </c>
      <c r="D761" s="52">
        <v>131</v>
      </c>
    </row>
    <row r="762" spans="1:4">
      <c r="A762" s="50">
        <f t="shared" si="230"/>
        <v>761</v>
      </c>
      <c r="B762" s="51">
        <v>45833</v>
      </c>
      <c r="C762" s="1" t="s">
        <v>45</v>
      </c>
      <c r="D762" s="52">
        <v>20</v>
      </c>
    </row>
    <row r="763" spans="1:4">
      <c r="A763" s="53">
        <f t="shared" si="230"/>
        <v>762</v>
      </c>
      <c r="B763" s="54">
        <v>45833</v>
      </c>
      <c r="C763" s="55" t="s">
        <v>26</v>
      </c>
      <c r="D763" s="56">
        <v>49</v>
      </c>
    </row>
    <row r="764" spans="1:4">
      <c r="A764" s="50">
        <f t="shared" ref="A764:A766" si="231">IF(B764="","",ROW(A763))</f>
        <v>763</v>
      </c>
      <c r="B764" s="51">
        <v>45834</v>
      </c>
      <c r="C764" s="1" t="s">
        <v>26</v>
      </c>
      <c r="D764" s="52">
        <v>44</v>
      </c>
    </row>
    <row r="765" spans="1:4">
      <c r="A765" s="50">
        <f t="shared" si="231"/>
        <v>764</v>
      </c>
      <c r="B765" s="51">
        <v>45834</v>
      </c>
      <c r="C765" s="1" t="s">
        <v>45</v>
      </c>
      <c r="D765" s="52">
        <v>20</v>
      </c>
    </row>
    <row r="766" spans="1:4">
      <c r="A766" s="53">
        <f t="shared" si="231"/>
        <v>765</v>
      </c>
      <c r="B766" s="54">
        <v>45834</v>
      </c>
      <c r="C766" s="55" t="s">
        <v>23</v>
      </c>
      <c r="D766" s="56">
        <v>137</v>
      </c>
    </row>
    <row r="767" spans="1:4">
      <c r="A767" s="50">
        <f t="shared" ref="A767:A769" si="232">IF(B767="","",ROW(A766))</f>
        <v>766</v>
      </c>
      <c r="B767" s="51">
        <v>45835</v>
      </c>
      <c r="C767" s="1" t="s">
        <v>45</v>
      </c>
      <c r="D767" s="52">
        <v>20</v>
      </c>
    </row>
    <row r="768" spans="1:4">
      <c r="A768" s="50">
        <f t="shared" si="232"/>
        <v>767</v>
      </c>
      <c r="B768" s="51">
        <v>45835</v>
      </c>
      <c r="C768" s="1" t="s">
        <v>26</v>
      </c>
      <c r="D768" s="52">
        <v>44</v>
      </c>
    </row>
    <row r="769" spans="1:4">
      <c r="A769" s="53">
        <f t="shared" si="232"/>
        <v>768</v>
      </c>
      <c r="B769" s="54">
        <v>45835</v>
      </c>
      <c r="C769" s="55" t="s">
        <v>23</v>
      </c>
      <c r="D769" s="56">
        <v>137</v>
      </c>
    </row>
    <row r="770" spans="1:4">
      <c r="A770" s="50">
        <f t="shared" ref="A770:A772" si="233">IF(B770="","",ROW(A769))</f>
        <v>769</v>
      </c>
      <c r="B770" s="51">
        <v>45836</v>
      </c>
      <c r="C770" s="1" t="s">
        <v>45</v>
      </c>
      <c r="D770" s="52">
        <v>20</v>
      </c>
    </row>
    <row r="771" spans="1:4">
      <c r="A771" s="50">
        <f t="shared" si="233"/>
        <v>770</v>
      </c>
      <c r="B771" s="51">
        <v>45836</v>
      </c>
      <c r="C771" s="1" t="s">
        <v>26</v>
      </c>
      <c r="D771" s="52">
        <v>44</v>
      </c>
    </row>
    <row r="772" spans="1:4">
      <c r="A772" s="53">
        <f t="shared" si="233"/>
        <v>771</v>
      </c>
      <c r="B772" s="54">
        <v>45836</v>
      </c>
      <c r="C772" s="55" t="s">
        <v>23</v>
      </c>
      <c r="D772" s="56">
        <v>137</v>
      </c>
    </row>
    <row r="773" spans="1:4">
      <c r="A773" s="50">
        <f t="shared" ref="A773:A775" si="234">IF(B773="","",ROW(A772))</f>
        <v>772</v>
      </c>
      <c r="B773" s="51">
        <v>45837</v>
      </c>
      <c r="C773" s="1" t="s">
        <v>26</v>
      </c>
      <c r="D773" s="52">
        <v>44</v>
      </c>
    </row>
    <row r="774" spans="1:4">
      <c r="A774" s="50">
        <f t="shared" si="234"/>
        <v>773</v>
      </c>
      <c r="B774" s="51">
        <v>45837</v>
      </c>
      <c r="C774" s="1" t="s">
        <v>45</v>
      </c>
      <c r="D774" s="52">
        <v>20</v>
      </c>
    </row>
    <row r="775" spans="1:4">
      <c r="A775" s="53">
        <f t="shared" si="234"/>
        <v>774</v>
      </c>
      <c r="B775" s="54">
        <v>45837</v>
      </c>
      <c r="C775" s="55" t="s">
        <v>23</v>
      </c>
      <c r="D775" s="56">
        <v>137</v>
      </c>
    </row>
    <row r="776" spans="1:4">
      <c r="A776" s="50">
        <f t="shared" ref="A776:A778" si="235">IF(B776="","",ROW(A775))</f>
        <v>775</v>
      </c>
      <c r="B776" s="51">
        <v>45838</v>
      </c>
      <c r="C776" s="1" t="s">
        <v>45</v>
      </c>
      <c r="D776" s="52">
        <v>20</v>
      </c>
    </row>
    <row r="777" spans="1:4">
      <c r="A777" s="50">
        <f t="shared" si="235"/>
        <v>776</v>
      </c>
      <c r="B777" s="51">
        <v>45838</v>
      </c>
      <c r="C777" s="1" t="s">
        <v>23</v>
      </c>
      <c r="D777" s="52">
        <v>137</v>
      </c>
    </row>
    <row r="778" spans="1:4">
      <c r="A778" s="53">
        <f t="shared" si="235"/>
        <v>777</v>
      </c>
      <c r="B778" s="54">
        <v>45838</v>
      </c>
      <c r="C778" s="55" t="s">
        <v>26</v>
      </c>
      <c r="D778" s="56">
        <v>44</v>
      </c>
    </row>
    <row r="779" spans="1:4">
      <c r="A779" s="50">
        <f t="shared" ref="A779:A781" si="236">IF(B779="","",ROW(A778))</f>
        <v>778</v>
      </c>
      <c r="B779" s="51">
        <v>45839</v>
      </c>
      <c r="C779" s="1" t="s">
        <v>45</v>
      </c>
      <c r="D779" s="52">
        <v>20</v>
      </c>
    </row>
    <row r="780" spans="1:4">
      <c r="A780" s="50">
        <f t="shared" si="236"/>
        <v>779</v>
      </c>
      <c r="B780" s="51">
        <v>45839</v>
      </c>
      <c r="C780" s="1" t="s">
        <v>26</v>
      </c>
      <c r="D780" s="52">
        <v>44</v>
      </c>
    </row>
    <row r="781" spans="1:4">
      <c r="A781" s="53">
        <f t="shared" si="236"/>
        <v>780</v>
      </c>
      <c r="B781" s="54">
        <v>45839</v>
      </c>
      <c r="C781" s="55" t="s">
        <v>23</v>
      </c>
      <c r="D781" s="56">
        <v>137</v>
      </c>
    </row>
    <row r="782" spans="1:4">
      <c r="A782" s="50">
        <f t="shared" ref="A782:A784" si="237">IF(B782="","",ROW(A781))</f>
        <v>781</v>
      </c>
      <c r="B782" s="51">
        <v>45840</v>
      </c>
      <c r="C782" s="1" t="s">
        <v>45</v>
      </c>
      <c r="D782" s="52">
        <v>20</v>
      </c>
    </row>
    <row r="783" spans="1:4">
      <c r="A783" s="50">
        <f t="shared" si="237"/>
        <v>782</v>
      </c>
      <c r="B783" s="51">
        <v>45840</v>
      </c>
      <c r="C783" s="1" t="s">
        <v>23</v>
      </c>
      <c r="D783" s="52">
        <v>137</v>
      </c>
    </row>
    <row r="784" spans="1:4">
      <c r="A784" s="53">
        <f t="shared" si="237"/>
        <v>783</v>
      </c>
      <c r="B784" s="54">
        <v>45840</v>
      </c>
      <c r="C784" s="55" t="s">
        <v>26</v>
      </c>
      <c r="D784" s="56">
        <v>44</v>
      </c>
    </row>
    <row r="785" spans="1:4">
      <c r="A785" s="50">
        <f t="shared" ref="A785:A787" si="238">IF(B785="","",ROW(A784))</f>
        <v>784</v>
      </c>
      <c r="B785" s="51">
        <v>45841</v>
      </c>
      <c r="C785" s="1" t="s">
        <v>26</v>
      </c>
      <c r="D785" s="52">
        <v>44</v>
      </c>
    </row>
    <row r="786" spans="1:4">
      <c r="A786" s="50">
        <f t="shared" si="238"/>
        <v>785</v>
      </c>
      <c r="B786" s="51">
        <v>45841</v>
      </c>
      <c r="C786" s="1" t="s">
        <v>45</v>
      </c>
      <c r="D786" s="52">
        <v>20</v>
      </c>
    </row>
    <row r="787" spans="1:4">
      <c r="A787" s="53">
        <f t="shared" si="238"/>
        <v>786</v>
      </c>
      <c r="B787" s="54">
        <v>45841</v>
      </c>
      <c r="C787" s="55" t="s">
        <v>23</v>
      </c>
      <c r="D787" s="56">
        <v>137</v>
      </c>
    </row>
    <row r="788" spans="1:4">
      <c r="A788" s="50">
        <f t="shared" ref="A788:A790" si="239">IF(B788="","",ROW(A787))</f>
        <v>787</v>
      </c>
      <c r="B788" s="51">
        <v>45842</v>
      </c>
      <c r="C788" s="1" t="s">
        <v>45</v>
      </c>
      <c r="D788" s="52">
        <v>20</v>
      </c>
    </row>
    <row r="789" spans="1:4">
      <c r="A789" s="50">
        <f t="shared" si="239"/>
        <v>788</v>
      </c>
      <c r="B789" s="51">
        <v>45842</v>
      </c>
      <c r="C789" s="1" t="s">
        <v>23</v>
      </c>
      <c r="D789" s="52">
        <v>137</v>
      </c>
    </row>
    <row r="790" spans="1:4">
      <c r="A790" s="53">
        <f t="shared" si="239"/>
        <v>789</v>
      </c>
      <c r="B790" s="54">
        <v>45842</v>
      </c>
      <c r="C790" s="55" t="s">
        <v>26</v>
      </c>
      <c r="D790" s="56">
        <v>44</v>
      </c>
    </row>
    <row r="791" spans="1:4">
      <c r="A791" s="50">
        <f t="shared" ref="A791:A793" si="240">IF(B791="","",ROW(A790))</f>
        <v>790</v>
      </c>
      <c r="B791" s="51">
        <v>45843</v>
      </c>
      <c r="C791" s="1" t="s">
        <v>45</v>
      </c>
      <c r="D791" s="52">
        <v>20</v>
      </c>
    </row>
    <row r="792" spans="1:4">
      <c r="A792" s="50">
        <f t="shared" si="240"/>
        <v>791</v>
      </c>
      <c r="B792" s="51">
        <v>45843</v>
      </c>
      <c r="C792" s="1" t="s">
        <v>26</v>
      </c>
      <c r="D792" s="52">
        <v>44</v>
      </c>
    </row>
    <row r="793" spans="1:4">
      <c r="A793" s="53">
        <f t="shared" si="240"/>
        <v>792</v>
      </c>
      <c r="B793" s="54">
        <v>45843</v>
      </c>
      <c r="C793" s="55" t="s">
        <v>23</v>
      </c>
      <c r="D793" s="56">
        <v>137</v>
      </c>
    </row>
    <row r="794" spans="1:4">
      <c r="A794" s="50">
        <f t="shared" ref="A794:A796" si="241">IF(B794="","",ROW(A793))</f>
        <v>793</v>
      </c>
      <c r="B794" s="51">
        <v>45844</v>
      </c>
      <c r="C794" s="1" t="s">
        <v>23</v>
      </c>
      <c r="D794" s="52">
        <v>137</v>
      </c>
    </row>
    <row r="795" spans="1:4">
      <c r="A795" s="50">
        <f t="shared" si="241"/>
        <v>794</v>
      </c>
      <c r="B795" s="51">
        <v>45844</v>
      </c>
      <c r="C795" s="1" t="s">
        <v>26</v>
      </c>
      <c r="D795" s="52">
        <v>44</v>
      </c>
    </row>
    <row r="796" spans="1:4">
      <c r="A796" s="53">
        <f t="shared" si="241"/>
        <v>795</v>
      </c>
      <c r="B796" s="54">
        <v>45844</v>
      </c>
      <c r="C796" s="55" t="s">
        <v>45</v>
      </c>
      <c r="D796" s="56">
        <v>20</v>
      </c>
    </row>
    <row r="797" spans="1:4">
      <c r="A797" s="50">
        <f t="shared" ref="A797:A799" si="242">IF(B797="","",ROW(A796))</f>
        <v>796</v>
      </c>
      <c r="B797" s="51">
        <v>45845</v>
      </c>
      <c r="C797" s="1" t="s">
        <v>26</v>
      </c>
      <c r="D797" s="52">
        <v>44</v>
      </c>
    </row>
    <row r="798" spans="1:4">
      <c r="A798" s="50">
        <f t="shared" si="242"/>
        <v>797</v>
      </c>
      <c r="B798" s="51">
        <v>45845</v>
      </c>
      <c r="C798" s="1" t="s">
        <v>45</v>
      </c>
      <c r="D798" s="52">
        <v>20</v>
      </c>
    </row>
    <row r="799" spans="1:4">
      <c r="A799" s="53">
        <f t="shared" si="242"/>
        <v>798</v>
      </c>
      <c r="B799" s="54">
        <v>45845</v>
      </c>
      <c r="C799" s="55" t="s">
        <v>23</v>
      </c>
      <c r="D799" s="56">
        <v>137</v>
      </c>
    </row>
    <row r="800" spans="1:4">
      <c r="A800" s="50">
        <f t="shared" ref="A800:A802" si="243">IF(B800="","",ROW(A799))</f>
        <v>799</v>
      </c>
      <c r="B800" s="51">
        <v>45846</v>
      </c>
      <c r="C800" s="1" t="s">
        <v>45</v>
      </c>
      <c r="D800" s="52">
        <v>20</v>
      </c>
    </row>
    <row r="801" spans="1:4">
      <c r="A801" s="50">
        <f t="shared" si="243"/>
        <v>800</v>
      </c>
      <c r="B801" s="51">
        <v>45846</v>
      </c>
      <c r="C801" s="1" t="s">
        <v>23</v>
      </c>
      <c r="D801" s="52">
        <v>137</v>
      </c>
    </row>
    <row r="802" spans="1:4">
      <c r="A802" s="53">
        <f t="shared" si="243"/>
        <v>801</v>
      </c>
      <c r="B802" s="54">
        <v>45846</v>
      </c>
      <c r="C802" s="55" t="s">
        <v>26</v>
      </c>
      <c r="D802" s="56">
        <v>44</v>
      </c>
    </row>
    <row r="803" spans="1:4">
      <c r="A803" s="50">
        <f t="shared" ref="A803:A805" si="244">IF(B803="","",ROW(A802))</f>
        <v>802</v>
      </c>
      <c r="B803" s="51">
        <v>45847</v>
      </c>
      <c r="C803" s="1" t="s">
        <v>26</v>
      </c>
      <c r="D803" s="52">
        <v>44</v>
      </c>
    </row>
    <row r="804" spans="1:4">
      <c r="A804" s="50">
        <f t="shared" si="244"/>
        <v>803</v>
      </c>
      <c r="B804" s="51">
        <v>45847</v>
      </c>
      <c r="C804" s="1" t="s">
        <v>45</v>
      </c>
      <c r="D804" s="52">
        <v>20</v>
      </c>
    </row>
    <row r="805" spans="1:4">
      <c r="A805" s="53">
        <f t="shared" si="244"/>
        <v>804</v>
      </c>
      <c r="B805" s="54">
        <v>45847</v>
      </c>
      <c r="C805" s="55" t="s">
        <v>23</v>
      </c>
      <c r="D805" s="56">
        <v>137</v>
      </c>
    </row>
    <row r="806" spans="1:4">
      <c r="A806" s="50">
        <f t="shared" ref="A806:A808" si="245">IF(B806="","",ROW(A805))</f>
        <v>805</v>
      </c>
      <c r="B806" s="51">
        <v>45848</v>
      </c>
      <c r="C806" s="1" t="s">
        <v>26</v>
      </c>
      <c r="D806" s="52">
        <v>44</v>
      </c>
    </row>
    <row r="807" spans="1:4">
      <c r="A807" s="50">
        <f t="shared" si="245"/>
        <v>806</v>
      </c>
      <c r="B807" s="51">
        <v>45848</v>
      </c>
      <c r="C807" s="1" t="s">
        <v>45</v>
      </c>
      <c r="D807" s="52">
        <v>20</v>
      </c>
    </row>
    <row r="808" spans="1:4">
      <c r="A808" s="53">
        <f t="shared" si="245"/>
        <v>807</v>
      </c>
      <c r="B808" s="54">
        <v>45848</v>
      </c>
      <c r="C808" s="55" t="s">
        <v>23</v>
      </c>
      <c r="D808" s="56">
        <v>137</v>
      </c>
    </row>
    <row r="809" spans="1:4">
      <c r="A809" s="50">
        <f t="shared" ref="A809:A811" si="246">IF(B809="","",ROW(A808))</f>
        <v>808</v>
      </c>
      <c r="B809" s="51">
        <v>45849</v>
      </c>
      <c r="C809" s="1" t="s">
        <v>26</v>
      </c>
      <c r="D809" s="52">
        <v>44</v>
      </c>
    </row>
    <row r="810" spans="1:4">
      <c r="A810" s="50">
        <f t="shared" si="246"/>
        <v>809</v>
      </c>
      <c r="B810" s="51">
        <v>45849</v>
      </c>
      <c r="C810" s="1" t="s">
        <v>45</v>
      </c>
      <c r="D810" s="52">
        <v>20</v>
      </c>
    </row>
    <row r="811" spans="1:4">
      <c r="A811" s="53">
        <f t="shared" si="246"/>
        <v>810</v>
      </c>
      <c r="B811" s="54">
        <v>45849</v>
      </c>
      <c r="C811" s="55" t="s">
        <v>23</v>
      </c>
      <c r="D811" s="56">
        <v>137</v>
      </c>
    </row>
    <row r="812" spans="1:4">
      <c r="A812" s="53">
        <f>IF(B812="","",ROW(A811))</f>
        <v>811</v>
      </c>
      <c r="B812" s="54">
        <v>45850</v>
      </c>
      <c r="C812" s="55" t="s">
        <v>45</v>
      </c>
      <c r="D812" s="56">
        <v>20</v>
      </c>
    </row>
    <row r="813" spans="1:4">
      <c r="A813" s="50">
        <f t="shared" ref="A813:A814" si="247">IF(B813="","",ROW(A812))</f>
        <v>812</v>
      </c>
      <c r="B813" s="51">
        <v>45850</v>
      </c>
      <c r="C813" s="1" t="s">
        <v>26</v>
      </c>
      <c r="D813" s="52">
        <v>44</v>
      </c>
    </row>
    <row r="814" spans="1:4">
      <c r="A814" s="53">
        <f t="shared" si="247"/>
        <v>813</v>
      </c>
      <c r="B814" s="54">
        <v>45850</v>
      </c>
      <c r="C814" s="55" t="s">
        <v>23</v>
      </c>
      <c r="D814" s="56">
        <v>137</v>
      </c>
    </row>
    <row r="815" spans="1:4">
      <c r="A815" s="50">
        <f t="shared" ref="A815:A817" si="248">IF(B815="","",ROW(A814))</f>
        <v>814</v>
      </c>
      <c r="B815" s="51">
        <v>45851</v>
      </c>
      <c r="C815" s="1" t="s">
        <v>23</v>
      </c>
      <c r="D815" s="52">
        <v>137</v>
      </c>
    </row>
    <row r="816" spans="1:4">
      <c r="A816" s="50">
        <f t="shared" si="248"/>
        <v>815</v>
      </c>
      <c r="B816" s="51">
        <v>45851</v>
      </c>
      <c r="C816" s="1" t="s">
        <v>26</v>
      </c>
      <c r="D816" s="52">
        <v>44</v>
      </c>
    </row>
    <row r="817" spans="1:4">
      <c r="A817" s="53">
        <f t="shared" si="248"/>
        <v>816</v>
      </c>
      <c r="B817" s="54">
        <v>45851</v>
      </c>
      <c r="C817" s="55" t="s">
        <v>45</v>
      </c>
      <c r="D817" s="56">
        <v>20</v>
      </c>
    </row>
    <row r="818" spans="1:4">
      <c r="A818" s="50">
        <f t="shared" ref="A818:A820" si="249">IF(B818="","",ROW(A817))</f>
        <v>817</v>
      </c>
      <c r="B818" s="51">
        <v>45852</v>
      </c>
      <c r="C818" s="1" t="s">
        <v>45</v>
      </c>
      <c r="D818" s="52">
        <v>20</v>
      </c>
    </row>
    <row r="819" spans="1:4">
      <c r="A819" s="50">
        <f t="shared" si="249"/>
        <v>818</v>
      </c>
      <c r="B819" s="51">
        <v>45852</v>
      </c>
      <c r="C819" s="1" t="s">
        <v>26</v>
      </c>
      <c r="D819" s="52">
        <v>44</v>
      </c>
    </row>
    <row r="820" spans="1:4">
      <c r="A820" s="53">
        <f t="shared" si="249"/>
        <v>819</v>
      </c>
      <c r="B820" s="54">
        <v>45852</v>
      </c>
      <c r="C820" s="55" t="s">
        <v>23</v>
      </c>
      <c r="D820" s="56">
        <v>137</v>
      </c>
    </row>
    <row r="821" spans="1:4">
      <c r="A821" s="50">
        <f t="shared" ref="A821:A823" si="250">IF(B821="","",ROW(A820))</f>
        <v>820</v>
      </c>
      <c r="B821" s="51">
        <v>45853</v>
      </c>
      <c r="C821" s="1" t="s">
        <v>45</v>
      </c>
      <c r="D821" s="52">
        <v>20</v>
      </c>
    </row>
    <row r="822" spans="1:4">
      <c r="A822" s="50">
        <f t="shared" si="250"/>
        <v>821</v>
      </c>
      <c r="B822" s="51">
        <v>45853</v>
      </c>
      <c r="C822" s="1" t="s">
        <v>26</v>
      </c>
      <c r="D822" s="52">
        <v>44</v>
      </c>
    </row>
    <row r="823" spans="1:4">
      <c r="A823" s="53">
        <f t="shared" si="250"/>
        <v>822</v>
      </c>
      <c r="B823" s="54">
        <v>45853</v>
      </c>
      <c r="C823" s="55" t="s">
        <v>23</v>
      </c>
      <c r="D823" s="56">
        <v>137</v>
      </c>
    </row>
    <row r="824" spans="1:4">
      <c r="A824" s="50">
        <f t="shared" ref="A824:A826" si="251">IF(B824="","",ROW(A823))</f>
        <v>823</v>
      </c>
      <c r="B824" s="51">
        <v>45854</v>
      </c>
      <c r="C824" s="1" t="s">
        <v>45</v>
      </c>
      <c r="D824" s="52">
        <v>20</v>
      </c>
    </row>
    <row r="825" spans="1:4">
      <c r="A825" s="50">
        <f t="shared" si="251"/>
        <v>824</v>
      </c>
      <c r="B825" s="51">
        <v>45854</v>
      </c>
      <c r="C825" s="1" t="s">
        <v>26</v>
      </c>
      <c r="D825" s="52">
        <v>44</v>
      </c>
    </row>
    <row r="826" spans="1:4">
      <c r="A826" s="53">
        <f t="shared" si="251"/>
        <v>825</v>
      </c>
      <c r="B826" s="54">
        <v>45854</v>
      </c>
      <c r="C826" s="55" t="s">
        <v>23</v>
      </c>
      <c r="D826" s="56">
        <v>137</v>
      </c>
    </row>
    <row r="827" spans="1:4">
      <c r="A827" s="50">
        <f t="shared" ref="A827:A829" si="252">IF(B827="","",ROW(A826))</f>
        <v>826</v>
      </c>
      <c r="B827" s="51">
        <v>45855</v>
      </c>
      <c r="C827" s="1" t="s">
        <v>45</v>
      </c>
      <c r="D827" s="52">
        <v>20</v>
      </c>
    </row>
    <row r="828" spans="1:4">
      <c r="A828" s="50">
        <f t="shared" si="252"/>
        <v>827</v>
      </c>
      <c r="B828" s="51">
        <v>45855</v>
      </c>
      <c r="C828" s="1" t="s">
        <v>23</v>
      </c>
      <c r="D828" s="52">
        <v>137</v>
      </c>
    </row>
    <row r="829" spans="1:4">
      <c r="A829" s="53">
        <f t="shared" si="252"/>
        <v>828</v>
      </c>
      <c r="B829" s="54">
        <v>45855</v>
      </c>
      <c r="C829" s="55" t="s">
        <v>26</v>
      </c>
      <c r="D829" s="56">
        <v>44</v>
      </c>
    </row>
    <row r="830" spans="1:4">
      <c r="A830" s="50">
        <f t="shared" ref="A830:A832" si="253">IF(B830="","",ROW(A829))</f>
        <v>829</v>
      </c>
      <c r="B830" s="51">
        <v>45856</v>
      </c>
      <c r="C830" s="1" t="s">
        <v>45</v>
      </c>
      <c r="D830" s="52">
        <v>20</v>
      </c>
    </row>
    <row r="831" spans="1:4">
      <c r="A831" s="50">
        <f t="shared" si="253"/>
        <v>830</v>
      </c>
      <c r="B831" s="51">
        <v>45856</v>
      </c>
      <c r="C831" s="1" t="s">
        <v>26</v>
      </c>
      <c r="D831" s="52">
        <v>44</v>
      </c>
    </row>
    <row r="832" spans="1:4">
      <c r="A832" s="53">
        <f t="shared" si="253"/>
        <v>831</v>
      </c>
      <c r="B832" s="54">
        <v>45856</v>
      </c>
      <c r="C832" s="55" t="s">
        <v>23</v>
      </c>
      <c r="D832" s="56">
        <v>137</v>
      </c>
    </row>
    <row r="833" spans="1:4">
      <c r="A833" s="50">
        <f t="shared" ref="A833:A835" si="254">IF(B833="","",ROW(A832))</f>
        <v>832</v>
      </c>
      <c r="B833" s="51">
        <v>45857</v>
      </c>
      <c r="C833" s="1" t="s">
        <v>26</v>
      </c>
      <c r="D833" s="52">
        <v>44</v>
      </c>
    </row>
    <row r="834" spans="1:4">
      <c r="A834" s="50">
        <f t="shared" si="254"/>
        <v>833</v>
      </c>
      <c r="B834" s="51">
        <v>45857</v>
      </c>
      <c r="C834" s="1" t="s">
        <v>45</v>
      </c>
      <c r="D834" s="52">
        <v>20</v>
      </c>
    </row>
    <row r="835" spans="1:4">
      <c r="A835" s="53">
        <f t="shared" si="254"/>
        <v>834</v>
      </c>
      <c r="B835" s="54">
        <v>45857</v>
      </c>
      <c r="C835" s="55" t="s">
        <v>23</v>
      </c>
      <c r="D835" s="56">
        <v>137</v>
      </c>
    </row>
    <row r="836" spans="1:4">
      <c r="A836" s="50">
        <f t="shared" ref="A836:A838" si="255">IF(B836="","",ROW(A835))</f>
        <v>835</v>
      </c>
      <c r="B836" s="51">
        <v>45858</v>
      </c>
      <c r="C836" s="1" t="s">
        <v>45</v>
      </c>
      <c r="D836" s="52">
        <v>20</v>
      </c>
    </row>
    <row r="837" spans="1:4">
      <c r="A837" s="50">
        <f t="shared" si="255"/>
        <v>836</v>
      </c>
      <c r="B837" s="51">
        <v>45858</v>
      </c>
      <c r="C837" s="1" t="s">
        <v>23</v>
      </c>
      <c r="D837" s="52">
        <v>137</v>
      </c>
    </row>
    <row r="838" spans="1:4">
      <c r="A838" s="53">
        <f t="shared" si="255"/>
        <v>837</v>
      </c>
      <c r="B838" s="54">
        <v>45858</v>
      </c>
      <c r="C838" s="55" t="s">
        <v>26</v>
      </c>
      <c r="D838" s="56">
        <v>44</v>
      </c>
    </row>
    <row r="839" spans="1:4">
      <c r="A839" s="50">
        <f t="shared" ref="A839:A841" si="256">IF(B839="","",ROW(A838))</f>
        <v>838</v>
      </c>
      <c r="B839" s="51">
        <v>45859</v>
      </c>
      <c r="C839" s="1" t="s">
        <v>45</v>
      </c>
      <c r="D839" s="52">
        <v>20</v>
      </c>
    </row>
    <row r="840" spans="1:4">
      <c r="A840" s="50">
        <f t="shared" si="256"/>
        <v>839</v>
      </c>
      <c r="B840" s="51">
        <v>45859</v>
      </c>
      <c r="C840" s="1" t="s">
        <v>23</v>
      </c>
      <c r="D840" s="52">
        <v>137</v>
      </c>
    </row>
    <row r="841" spans="1:4">
      <c r="A841" s="53">
        <f t="shared" si="256"/>
        <v>840</v>
      </c>
      <c r="B841" s="54">
        <v>45859</v>
      </c>
      <c r="C841" s="55" t="s">
        <v>26</v>
      </c>
      <c r="D841" s="56">
        <v>44</v>
      </c>
    </row>
    <row r="842" spans="1:4">
      <c r="A842" s="50">
        <f t="shared" ref="A842:A844" si="257">IF(B842="","",ROW(A841))</f>
        <v>841</v>
      </c>
      <c r="B842" s="51">
        <v>45860</v>
      </c>
      <c r="C842" s="1" t="s">
        <v>26</v>
      </c>
      <c r="D842" s="52">
        <v>44</v>
      </c>
    </row>
    <row r="843" spans="1:4">
      <c r="A843" s="50">
        <f t="shared" si="257"/>
        <v>842</v>
      </c>
      <c r="B843" s="51">
        <v>45860</v>
      </c>
      <c r="C843" s="1" t="s">
        <v>23</v>
      </c>
      <c r="D843" s="52">
        <v>137</v>
      </c>
    </row>
    <row r="844" spans="1:4">
      <c r="A844" s="53">
        <f t="shared" si="257"/>
        <v>843</v>
      </c>
      <c r="B844" s="54">
        <v>45860</v>
      </c>
      <c r="C844" s="55" t="s">
        <v>45</v>
      </c>
      <c r="D844" s="56">
        <v>20</v>
      </c>
    </row>
    <row r="845" spans="1:4">
      <c r="A845" s="50">
        <f t="shared" ref="A845:A847" si="258">IF(B845="","",ROW(A844))</f>
        <v>844</v>
      </c>
      <c r="B845" s="51">
        <v>45861</v>
      </c>
      <c r="C845" s="1" t="s">
        <v>45</v>
      </c>
      <c r="D845" s="52">
        <v>20</v>
      </c>
    </row>
    <row r="846" spans="1:4">
      <c r="A846" s="50">
        <f t="shared" si="258"/>
        <v>845</v>
      </c>
      <c r="B846" s="51">
        <v>45861</v>
      </c>
      <c r="C846" s="1" t="s">
        <v>26</v>
      </c>
      <c r="D846" s="52">
        <v>44</v>
      </c>
    </row>
    <row r="847" spans="1:4">
      <c r="A847" s="53">
        <f t="shared" si="258"/>
        <v>846</v>
      </c>
      <c r="B847" s="54">
        <v>45861</v>
      </c>
      <c r="C847" s="55" t="s">
        <v>23</v>
      </c>
      <c r="D847" s="56">
        <v>137</v>
      </c>
    </row>
    <row r="848" spans="1:4">
      <c r="A848" s="50">
        <f t="shared" ref="A848:A850" si="259">IF(B848="","",ROW(A847))</f>
        <v>847</v>
      </c>
      <c r="B848" s="51">
        <v>45862</v>
      </c>
      <c r="C848" s="1" t="s">
        <v>45</v>
      </c>
      <c r="D848" s="52">
        <v>20</v>
      </c>
    </row>
    <row r="849" spans="1:4">
      <c r="A849" s="50">
        <f t="shared" si="259"/>
        <v>848</v>
      </c>
      <c r="B849" s="51">
        <v>45862</v>
      </c>
      <c r="C849" s="1" t="s">
        <v>23</v>
      </c>
      <c r="D849" s="52">
        <v>137</v>
      </c>
    </row>
    <row r="850" spans="1:4">
      <c r="A850" s="53">
        <f t="shared" si="259"/>
        <v>849</v>
      </c>
      <c r="B850" s="54">
        <v>45862</v>
      </c>
      <c r="C850" s="55" t="s">
        <v>26</v>
      </c>
      <c r="D850" s="56">
        <v>44</v>
      </c>
    </row>
    <row r="851" spans="1:4">
      <c r="A851" s="50">
        <f t="shared" ref="A851:A853" si="260">IF(B851="","",ROW(A850))</f>
        <v>850</v>
      </c>
      <c r="B851" s="51">
        <v>45863</v>
      </c>
      <c r="C851" s="1" t="s">
        <v>26</v>
      </c>
      <c r="D851" s="52">
        <v>44</v>
      </c>
    </row>
    <row r="852" spans="1:4">
      <c r="A852" s="50">
        <f t="shared" si="260"/>
        <v>851</v>
      </c>
      <c r="B852" s="51">
        <v>45863</v>
      </c>
      <c r="C852" s="1" t="s">
        <v>45</v>
      </c>
      <c r="D852" s="52">
        <v>20</v>
      </c>
    </row>
    <row r="853" spans="1:4">
      <c r="A853" s="53">
        <f t="shared" si="260"/>
        <v>852</v>
      </c>
      <c r="B853" s="54">
        <v>45863</v>
      </c>
      <c r="C853" s="55" t="s">
        <v>23</v>
      </c>
      <c r="D853" s="56">
        <v>137</v>
      </c>
    </row>
    <row r="854" spans="1:4">
      <c r="A854" s="50">
        <f t="shared" ref="A854:A856" si="261">IF(B854="","",ROW(A853))</f>
        <v>853</v>
      </c>
      <c r="B854" s="51">
        <v>45864</v>
      </c>
      <c r="C854" s="1" t="s">
        <v>45</v>
      </c>
      <c r="D854" s="52">
        <v>20</v>
      </c>
    </row>
    <row r="855" spans="1:4">
      <c r="A855" s="50">
        <f t="shared" si="261"/>
        <v>854</v>
      </c>
      <c r="B855" s="51">
        <v>45864</v>
      </c>
      <c r="C855" s="1" t="s">
        <v>23</v>
      </c>
      <c r="D855" s="52">
        <v>137</v>
      </c>
    </row>
    <row r="856" spans="1:4">
      <c r="A856" s="53">
        <f t="shared" si="261"/>
        <v>855</v>
      </c>
      <c r="B856" s="54">
        <v>45864</v>
      </c>
      <c r="C856" s="55" t="s">
        <v>26</v>
      </c>
      <c r="D856" s="56">
        <v>44</v>
      </c>
    </row>
    <row r="857" spans="1:4">
      <c r="A857" s="50">
        <f t="shared" ref="A857:A859" si="262">IF(B857="","",ROW(A856))</f>
        <v>856</v>
      </c>
      <c r="B857" s="51">
        <v>45865</v>
      </c>
      <c r="C857" s="1" t="s">
        <v>45</v>
      </c>
      <c r="D857" s="52">
        <v>20</v>
      </c>
    </row>
    <row r="858" spans="1:4">
      <c r="A858" s="50">
        <f t="shared" si="262"/>
        <v>857</v>
      </c>
      <c r="B858" s="51">
        <v>45865</v>
      </c>
      <c r="C858" s="1" t="s">
        <v>23</v>
      </c>
      <c r="D858" s="52">
        <v>137</v>
      </c>
    </row>
    <row r="859" spans="1:4">
      <c r="A859" s="53">
        <f t="shared" si="262"/>
        <v>858</v>
      </c>
      <c r="B859" s="54">
        <v>45865</v>
      </c>
      <c r="C859" s="55" t="s">
        <v>26</v>
      </c>
      <c r="D859" s="56">
        <v>44</v>
      </c>
    </row>
    <row r="860" spans="1:4">
      <c r="A860" s="50">
        <f t="shared" ref="A860:A862" si="263">IF(B860="","",ROW(A859))</f>
        <v>859</v>
      </c>
      <c r="B860" s="51">
        <v>45866</v>
      </c>
      <c r="C860" s="1" t="s">
        <v>26</v>
      </c>
      <c r="D860" s="52">
        <v>44</v>
      </c>
    </row>
    <row r="861" spans="1:4">
      <c r="A861" s="50">
        <f t="shared" si="263"/>
        <v>860</v>
      </c>
      <c r="B861" s="51">
        <v>45866</v>
      </c>
      <c r="C861" s="1" t="s">
        <v>23</v>
      </c>
      <c r="D861" s="52">
        <v>137</v>
      </c>
    </row>
    <row r="862" spans="1:4">
      <c r="A862" s="53">
        <f t="shared" si="263"/>
        <v>861</v>
      </c>
      <c r="B862" s="54">
        <v>45866</v>
      </c>
      <c r="C862" s="55" t="s">
        <v>45</v>
      </c>
      <c r="D862" s="56">
        <v>20</v>
      </c>
    </row>
    <row r="863" spans="1:4">
      <c r="A863" s="50">
        <f t="shared" ref="A863:A865" si="264">IF(B863="","",ROW(A862))</f>
        <v>862</v>
      </c>
      <c r="B863" s="51">
        <v>45867</v>
      </c>
      <c r="C863" s="1" t="s">
        <v>23</v>
      </c>
      <c r="D863" s="52">
        <v>137</v>
      </c>
    </row>
    <row r="864" spans="1:4">
      <c r="A864" s="50">
        <f t="shared" si="264"/>
        <v>863</v>
      </c>
      <c r="B864" s="51">
        <v>45867</v>
      </c>
      <c r="C864" s="1" t="s">
        <v>26</v>
      </c>
      <c r="D864" s="52">
        <v>44</v>
      </c>
    </row>
    <row r="865" spans="1:4">
      <c r="A865" s="53">
        <f t="shared" si="264"/>
        <v>864</v>
      </c>
      <c r="B865" s="54">
        <v>45867</v>
      </c>
      <c r="C865" s="55" t="s">
        <v>45</v>
      </c>
      <c r="D865" s="56">
        <v>20</v>
      </c>
    </row>
    <row r="866" spans="1:4">
      <c r="A866" s="50">
        <f t="shared" ref="A866:A868" si="265">IF(B866="","",ROW(A865))</f>
        <v>865</v>
      </c>
      <c r="B866" s="51">
        <v>45868</v>
      </c>
      <c r="C866" s="1" t="s">
        <v>23</v>
      </c>
      <c r="D866" s="52">
        <v>137</v>
      </c>
    </row>
    <row r="867" spans="1:4">
      <c r="A867" s="50">
        <f t="shared" si="265"/>
        <v>866</v>
      </c>
      <c r="B867" s="51">
        <v>45868</v>
      </c>
      <c r="C867" s="1" t="s">
        <v>45</v>
      </c>
      <c r="D867" s="52">
        <v>20</v>
      </c>
    </row>
    <row r="868" spans="1:4">
      <c r="A868" s="53">
        <f t="shared" si="265"/>
        <v>867</v>
      </c>
      <c r="B868" s="54">
        <v>45868</v>
      </c>
      <c r="C868" s="55" t="s">
        <v>26</v>
      </c>
      <c r="D868" s="56">
        <v>44</v>
      </c>
    </row>
    <row r="869" spans="1:4">
      <c r="A869" s="50">
        <f t="shared" ref="A869:A871" si="266">IF(B869="","",ROW(A868))</f>
        <v>868</v>
      </c>
      <c r="B869" s="51">
        <v>45869</v>
      </c>
      <c r="C869" s="1" t="s">
        <v>26</v>
      </c>
      <c r="D869" s="52">
        <v>44</v>
      </c>
    </row>
    <row r="870" spans="1:4">
      <c r="A870" s="50">
        <f t="shared" si="266"/>
        <v>869</v>
      </c>
      <c r="B870" s="51">
        <v>45869</v>
      </c>
      <c r="C870" s="1" t="s">
        <v>45</v>
      </c>
      <c r="D870" s="52">
        <v>20</v>
      </c>
    </row>
    <row r="871" spans="1:4">
      <c r="A871" s="53">
        <f t="shared" si="266"/>
        <v>870</v>
      </c>
      <c r="B871" s="54">
        <v>45869</v>
      </c>
      <c r="C871" s="55" t="s">
        <v>23</v>
      </c>
      <c r="D871" s="56">
        <v>137</v>
      </c>
    </row>
    <row r="872" spans="1:4">
      <c r="A872" s="50">
        <f t="shared" ref="A872:A874" si="267">IF(B872="","",ROW(A871))</f>
        <v>871</v>
      </c>
      <c r="B872" s="51">
        <v>45870</v>
      </c>
      <c r="C872" s="1" t="s">
        <v>23</v>
      </c>
      <c r="D872" s="52">
        <v>137</v>
      </c>
    </row>
    <row r="873" spans="1:4">
      <c r="A873" s="50">
        <f t="shared" si="267"/>
        <v>872</v>
      </c>
      <c r="B873" s="51">
        <v>45870</v>
      </c>
      <c r="C873" s="1" t="s">
        <v>45</v>
      </c>
      <c r="D873" s="52">
        <v>20</v>
      </c>
    </row>
    <row r="874" spans="1:4">
      <c r="A874" s="53">
        <f t="shared" si="267"/>
        <v>873</v>
      </c>
      <c r="B874" s="54">
        <v>45870</v>
      </c>
      <c r="C874" s="55" t="s">
        <v>26</v>
      </c>
      <c r="D874" s="56">
        <v>44</v>
      </c>
    </row>
    <row r="875" spans="1:4">
      <c r="A875" s="50">
        <f t="shared" ref="A875:A877" si="268">IF(B875="","",ROW(A874))</f>
        <v>874</v>
      </c>
      <c r="B875" s="51">
        <v>45871</v>
      </c>
      <c r="C875" s="1" t="s">
        <v>26</v>
      </c>
      <c r="D875" s="52">
        <v>44</v>
      </c>
    </row>
    <row r="876" spans="1:4">
      <c r="A876" s="50">
        <f t="shared" si="268"/>
        <v>875</v>
      </c>
      <c r="B876" s="51">
        <v>45871</v>
      </c>
      <c r="C876" s="1" t="s">
        <v>23</v>
      </c>
      <c r="D876" s="52">
        <v>137</v>
      </c>
    </row>
    <row r="877" spans="1:4">
      <c r="A877" s="53">
        <f t="shared" si="268"/>
        <v>876</v>
      </c>
      <c r="B877" s="54">
        <v>45871</v>
      </c>
      <c r="C877" s="55" t="s">
        <v>45</v>
      </c>
      <c r="D877" s="56">
        <v>20</v>
      </c>
    </row>
    <row r="878" spans="1:4">
      <c r="A878" s="50">
        <f t="shared" ref="A878:A880" si="269">IF(B878="","",ROW(A877))</f>
        <v>877</v>
      </c>
      <c r="B878" s="51">
        <v>45872</v>
      </c>
      <c r="C878" s="1" t="s">
        <v>26</v>
      </c>
      <c r="D878" s="52">
        <v>44</v>
      </c>
    </row>
    <row r="879" spans="1:4">
      <c r="A879" s="50">
        <f t="shared" si="269"/>
        <v>878</v>
      </c>
      <c r="B879" s="51">
        <v>45872</v>
      </c>
      <c r="C879" s="1" t="s">
        <v>23</v>
      </c>
      <c r="D879" s="52">
        <v>137</v>
      </c>
    </row>
    <row r="880" spans="1:4">
      <c r="A880" s="53">
        <f t="shared" si="269"/>
        <v>879</v>
      </c>
      <c r="B880" s="54">
        <v>45872</v>
      </c>
      <c r="C880" s="55" t="s">
        <v>45</v>
      </c>
      <c r="D880" s="56">
        <v>20</v>
      </c>
    </row>
    <row r="881" spans="1:4">
      <c r="A881" s="50">
        <f t="shared" ref="A881:A883" si="270">IF(B881="","",ROW(A880))</f>
        <v>880</v>
      </c>
      <c r="B881" s="51">
        <v>45873</v>
      </c>
      <c r="C881" s="1" t="s">
        <v>23</v>
      </c>
      <c r="D881" s="52">
        <v>137</v>
      </c>
    </row>
    <row r="882" spans="1:4">
      <c r="A882" s="50">
        <f t="shared" si="270"/>
        <v>881</v>
      </c>
      <c r="B882" s="51">
        <v>45873</v>
      </c>
      <c r="C882" s="1" t="s">
        <v>45</v>
      </c>
      <c r="D882" s="52">
        <v>20</v>
      </c>
    </row>
    <row r="883" spans="1:4">
      <c r="A883" s="53">
        <f t="shared" si="270"/>
        <v>882</v>
      </c>
      <c r="B883" s="54">
        <v>45873</v>
      </c>
      <c r="C883" s="55" t="s">
        <v>26</v>
      </c>
      <c r="D883" s="56">
        <v>44</v>
      </c>
    </row>
    <row r="884" spans="1:4">
      <c r="A884" s="50">
        <f t="shared" ref="A884:A886" si="271">IF(B884="","",ROW(A883))</f>
        <v>883</v>
      </c>
      <c r="B884" s="51">
        <v>45874</v>
      </c>
      <c r="C884" s="1" t="s">
        <v>26</v>
      </c>
      <c r="D884" s="52">
        <v>44</v>
      </c>
    </row>
    <row r="885" spans="1:4">
      <c r="A885" s="50">
        <f t="shared" si="271"/>
        <v>884</v>
      </c>
      <c r="B885" s="51">
        <v>45874</v>
      </c>
      <c r="C885" s="1" t="s">
        <v>23</v>
      </c>
      <c r="D885" s="52">
        <v>137</v>
      </c>
    </row>
    <row r="886" spans="1:4">
      <c r="A886" s="53">
        <f t="shared" si="271"/>
        <v>885</v>
      </c>
      <c r="B886" s="54">
        <v>45874</v>
      </c>
      <c r="C886" s="55" t="s">
        <v>45</v>
      </c>
      <c r="D886" s="56">
        <v>20</v>
      </c>
    </row>
    <row r="887" spans="1:4">
      <c r="A887" s="50">
        <f t="shared" ref="A887:A889" si="272">IF(B887="","",ROW(A886))</f>
        <v>886</v>
      </c>
      <c r="B887" s="51">
        <v>45875</v>
      </c>
      <c r="C887" s="1" t="s">
        <v>45</v>
      </c>
      <c r="D887" s="52">
        <v>20</v>
      </c>
    </row>
    <row r="888" spans="1:4">
      <c r="A888" s="50">
        <f t="shared" si="272"/>
        <v>887</v>
      </c>
      <c r="B888" s="51">
        <v>45875</v>
      </c>
      <c r="C888" s="1" t="s">
        <v>23</v>
      </c>
      <c r="D888" s="52">
        <v>137</v>
      </c>
    </row>
    <row r="889" spans="1:4">
      <c r="A889" s="53">
        <f t="shared" si="272"/>
        <v>888</v>
      </c>
      <c r="B889" s="54">
        <v>45875</v>
      </c>
      <c r="C889" s="55" t="s">
        <v>26</v>
      </c>
      <c r="D889" s="56">
        <v>44</v>
      </c>
    </row>
    <row r="890" spans="1:4">
      <c r="A890" s="50">
        <f t="shared" ref="A890:A892" si="273">IF(B890="","",ROW(A889))</f>
        <v>889</v>
      </c>
      <c r="B890" s="51">
        <v>45876</v>
      </c>
      <c r="C890" s="1" t="s">
        <v>45</v>
      </c>
      <c r="D890" s="52">
        <v>20</v>
      </c>
    </row>
    <row r="891" spans="1:4">
      <c r="A891" s="50">
        <f t="shared" si="273"/>
        <v>890</v>
      </c>
      <c r="B891" s="51">
        <v>45876</v>
      </c>
      <c r="C891" s="1" t="s">
        <v>26</v>
      </c>
      <c r="D891" s="52">
        <v>44</v>
      </c>
    </row>
    <row r="892" spans="1:4">
      <c r="A892" s="53">
        <f t="shared" si="273"/>
        <v>891</v>
      </c>
      <c r="B892" s="54">
        <v>45876</v>
      </c>
      <c r="C892" s="55" t="s">
        <v>23</v>
      </c>
      <c r="D892" s="56">
        <v>137</v>
      </c>
    </row>
    <row r="893" spans="1:4">
      <c r="A893" s="50">
        <f t="shared" ref="A893:A895" si="274">IF(B893="","",ROW(A892))</f>
        <v>892</v>
      </c>
      <c r="B893" s="51">
        <v>45877</v>
      </c>
      <c r="C893" s="1" t="s">
        <v>26</v>
      </c>
      <c r="D893" s="52">
        <v>44</v>
      </c>
    </row>
    <row r="894" spans="1:4">
      <c r="A894" s="50">
        <f t="shared" si="274"/>
        <v>893</v>
      </c>
      <c r="B894" s="51">
        <v>45877</v>
      </c>
      <c r="C894" s="1" t="s">
        <v>23</v>
      </c>
      <c r="D894" s="52">
        <v>137</v>
      </c>
    </row>
    <row r="895" spans="1:4">
      <c r="A895" s="53">
        <f t="shared" si="274"/>
        <v>894</v>
      </c>
      <c r="B895" s="54">
        <v>45877</v>
      </c>
      <c r="C895" s="55" t="s">
        <v>45</v>
      </c>
      <c r="D895" s="56">
        <v>20</v>
      </c>
    </row>
    <row r="896" spans="1:4">
      <c r="A896" s="50">
        <f t="shared" ref="A896:A898" si="275">IF(B896="","",ROW(A895))</f>
        <v>895</v>
      </c>
      <c r="B896" s="51">
        <v>45878</v>
      </c>
      <c r="C896" s="1" t="s">
        <v>23</v>
      </c>
      <c r="D896" s="52">
        <v>137</v>
      </c>
    </row>
    <row r="897" spans="1:4">
      <c r="A897" s="50">
        <f t="shared" si="275"/>
        <v>896</v>
      </c>
      <c r="B897" s="51">
        <v>45878</v>
      </c>
      <c r="C897" s="1" t="s">
        <v>45</v>
      </c>
      <c r="D897" s="52">
        <v>20</v>
      </c>
    </row>
    <row r="898" spans="1:4">
      <c r="A898" s="53">
        <f t="shared" si="275"/>
        <v>897</v>
      </c>
      <c r="B898" s="54">
        <v>45878</v>
      </c>
      <c r="C898" s="55" t="s">
        <v>26</v>
      </c>
      <c r="D898" s="56">
        <v>44</v>
      </c>
    </row>
    <row r="899" spans="1:4">
      <c r="A899" s="50">
        <f t="shared" ref="A899:A901" si="276">IF(B899="","",ROW(A898))</f>
        <v>898</v>
      </c>
      <c r="B899" s="51">
        <v>45879</v>
      </c>
      <c r="C899" s="1" t="s">
        <v>26</v>
      </c>
      <c r="D899" s="52">
        <v>44</v>
      </c>
    </row>
    <row r="900" spans="1:4">
      <c r="A900" s="50">
        <f t="shared" si="276"/>
        <v>899</v>
      </c>
      <c r="B900" s="51">
        <v>45879</v>
      </c>
      <c r="C900" s="1" t="s">
        <v>23</v>
      </c>
      <c r="D900" s="52">
        <v>137</v>
      </c>
    </row>
    <row r="901" spans="1:4">
      <c r="A901" s="53">
        <f t="shared" si="276"/>
        <v>900</v>
      </c>
      <c r="B901" s="54">
        <v>45879</v>
      </c>
      <c r="C901" s="55" t="s">
        <v>45</v>
      </c>
      <c r="D901" s="56">
        <v>20</v>
      </c>
    </row>
    <row r="902" spans="1:4">
      <c r="A902" s="50">
        <f t="shared" ref="A902:A904" si="277">IF(B902="","",ROW(A901))</f>
        <v>901</v>
      </c>
      <c r="B902" s="51">
        <v>45880</v>
      </c>
      <c r="C902" s="1" t="s">
        <v>23</v>
      </c>
      <c r="D902" s="52">
        <v>137</v>
      </c>
    </row>
    <row r="903" spans="1:4">
      <c r="A903" s="50">
        <f t="shared" si="277"/>
        <v>902</v>
      </c>
      <c r="B903" s="51">
        <v>45880</v>
      </c>
      <c r="C903" s="1" t="s">
        <v>26</v>
      </c>
      <c r="D903" s="52">
        <v>44</v>
      </c>
    </row>
    <row r="904" spans="1:4">
      <c r="A904" s="53">
        <f t="shared" si="277"/>
        <v>903</v>
      </c>
      <c r="B904" s="54">
        <v>45880</v>
      </c>
      <c r="C904" s="55" t="s">
        <v>45</v>
      </c>
      <c r="D904" s="56">
        <v>20</v>
      </c>
    </row>
    <row r="905" spans="1:4">
      <c r="A905" s="50">
        <f t="shared" ref="A905:A907" si="278">IF(B905="","",ROW(A904))</f>
        <v>904</v>
      </c>
      <c r="B905" s="51">
        <v>45881</v>
      </c>
      <c r="C905" s="1" t="s">
        <v>23</v>
      </c>
      <c r="D905" s="52">
        <v>137</v>
      </c>
    </row>
    <row r="906" spans="1:4">
      <c r="A906" s="50">
        <f t="shared" si="278"/>
        <v>905</v>
      </c>
      <c r="B906" s="51">
        <v>45881</v>
      </c>
      <c r="C906" s="1" t="s">
        <v>45</v>
      </c>
      <c r="D906" s="52">
        <v>20</v>
      </c>
    </row>
    <row r="907" spans="1:4">
      <c r="A907" s="53">
        <f t="shared" si="278"/>
        <v>906</v>
      </c>
      <c r="B907" s="54">
        <v>45881</v>
      </c>
      <c r="C907" s="55" t="s">
        <v>26</v>
      </c>
      <c r="D907" s="56">
        <v>44</v>
      </c>
    </row>
    <row r="908" spans="1:4">
      <c r="A908" s="50">
        <f t="shared" ref="A908:A910" si="279">IF(B908="","",ROW(A907))</f>
        <v>907</v>
      </c>
      <c r="B908" s="51">
        <v>45882</v>
      </c>
      <c r="C908" s="1" t="s">
        <v>23</v>
      </c>
      <c r="D908" s="52">
        <v>137</v>
      </c>
    </row>
    <row r="909" spans="1:4">
      <c r="A909" s="50">
        <f t="shared" si="279"/>
        <v>908</v>
      </c>
      <c r="B909" s="51">
        <v>45882</v>
      </c>
      <c r="C909" s="1" t="s">
        <v>45</v>
      </c>
      <c r="D909" s="52">
        <v>20</v>
      </c>
    </row>
    <row r="910" spans="1:4">
      <c r="A910" s="53">
        <f t="shared" si="279"/>
        <v>909</v>
      </c>
      <c r="B910" s="54">
        <v>45882</v>
      </c>
      <c r="C910" s="55" t="s">
        <v>26</v>
      </c>
      <c r="D910" s="56">
        <v>44</v>
      </c>
    </row>
    <row r="911" spans="1:4">
      <c r="A911" s="50">
        <f t="shared" ref="A911:A913" si="280">IF(B911="","",ROW(A910))</f>
        <v>910</v>
      </c>
      <c r="B911" s="51">
        <v>45883</v>
      </c>
      <c r="C911" s="1" t="s">
        <v>26</v>
      </c>
      <c r="D911" s="52">
        <v>44</v>
      </c>
    </row>
    <row r="912" spans="1:4">
      <c r="A912" s="50">
        <f t="shared" si="280"/>
        <v>911</v>
      </c>
      <c r="B912" s="51">
        <v>45883</v>
      </c>
      <c r="C912" s="1" t="s">
        <v>23</v>
      </c>
      <c r="D912" s="52">
        <v>137</v>
      </c>
    </row>
    <row r="913" spans="1:4">
      <c r="A913" s="53">
        <f t="shared" si="280"/>
        <v>912</v>
      </c>
      <c r="B913" s="54">
        <v>45883</v>
      </c>
      <c r="C913" s="55" t="s">
        <v>45</v>
      </c>
      <c r="D913" s="56">
        <v>20</v>
      </c>
    </row>
    <row r="914" spans="1:4">
      <c r="A914" s="50">
        <f t="shared" ref="A914:A916" si="281">IF(B914="","",ROW(A913))</f>
        <v>913</v>
      </c>
      <c r="B914" s="51">
        <v>45884</v>
      </c>
      <c r="C914" s="1" t="s">
        <v>45</v>
      </c>
      <c r="D914" s="52">
        <v>20</v>
      </c>
    </row>
    <row r="915" spans="1:4">
      <c r="A915" s="50">
        <f t="shared" si="281"/>
        <v>914</v>
      </c>
      <c r="B915" s="51">
        <v>45884</v>
      </c>
      <c r="C915" s="1" t="s">
        <v>26</v>
      </c>
      <c r="D915" s="52">
        <v>44</v>
      </c>
    </row>
    <row r="916" spans="1:4">
      <c r="A916" s="53">
        <f t="shared" si="281"/>
        <v>915</v>
      </c>
      <c r="B916" s="54">
        <v>45884</v>
      </c>
      <c r="C916" s="55" t="s">
        <v>23</v>
      </c>
      <c r="D916" s="56">
        <v>137</v>
      </c>
    </row>
    <row r="917" spans="1:4">
      <c r="A917" s="50">
        <f t="shared" ref="A917:A919" si="282">IF(B917="","",ROW(A916))</f>
        <v>916</v>
      </c>
      <c r="B917" s="51">
        <v>45885</v>
      </c>
      <c r="C917" s="1" t="s">
        <v>23</v>
      </c>
      <c r="D917" s="52">
        <v>137</v>
      </c>
    </row>
    <row r="918" spans="1:4">
      <c r="A918" s="50">
        <f t="shared" si="282"/>
        <v>917</v>
      </c>
      <c r="B918" s="51">
        <v>45885</v>
      </c>
      <c r="C918" s="1" t="s">
        <v>26</v>
      </c>
      <c r="D918" s="52">
        <v>44</v>
      </c>
    </row>
    <row r="919" spans="1:4">
      <c r="A919" s="53">
        <f t="shared" si="282"/>
        <v>918</v>
      </c>
      <c r="B919" s="54">
        <v>45885</v>
      </c>
      <c r="C919" s="55" t="s">
        <v>45</v>
      </c>
      <c r="D919" s="56">
        <v>20</v>
      </c>
    </row>
    <row r="920" spans="1:4">
      <c r="A920" s="50">
        <f t="shared" ref="A920:A922" si="283">IF(B920="","",ROW(A919))</f>
        <v>919</v>
      </c>
      <c r="B920" s="51">
        <v>45886</v>
      </c>
      <c r="C920" s="1" t="s">
        <v>26</v>
      </c>
      <c r="D920" s="52">
        <v>44</v>
      </c>
    </row>
    <row r="921" spans="1:4">
      <c r="A921" s="50">
        <f t="shared" si="283"/>
        <v>920</v>
      </c>
      <c r="B921" s="51">
        <v>45886</v>
      </c>
      <c r="C921" s="1" t="s">
        <v>23</v>
      </c>
      <c r="D921" s="52">
        <v>137</v>
      </c>
    </row>
    <row r="922" spans="1:4">
      <c r="A922" s="53">
        <f t="shared" si="283"/>
        <v>921</v>
      </c>
      <c r="B922" s="54">
        <v>45886</v>
      </c>
      <c r="C922" s="55" t="s">
        <v>45</v>
      </c>
      <c r="D922" s="56">
        <v>20</v>
      </c>
    </row>
    <row r="923" spans="1:4">
      <c r="A923" s="50">
        <f t="shared" ref="A923:A925" si="284">IF(B923="","",ROW(A922))</f>
        <v>922</v>
      </c>
      <c r="B923" s="51">
        <v>45887</v>
      </c>
      <c r="C923" s="1" t="s">
        <v>45</v>
      </c>
      <c r="D923" s="52">
        <v>20</v>
      </c>
    </row>
    <row r="924" spans="1:4">
      <c r="A924" s="50">
        <f t="shared" si="284"/>
        <v>923</v>
      </c>
      <c r="B924" s="51">
        <v>45887</v>
      </c>
      <c r="C924" s="1" t="s">
        <v>26</v>
      </c>
      <c r="D924" s="52">
        <v>44</v>
      </c>
    </row>
    <row r="925" spans="1:4">
      <c r="A925" s="53">
        <f t="shared" si="284"/>
        <v>924</v>
      </c>
      <c r="B925" s="54">
        <v>45887</v>
      </c>
      <c r="C925" s="55" t="s">
        <v>23</v>
      </c>
      <c r="D925" s="56">
        <v>137</v>
      </c>
    </row>
    <row r="926" spans="1:4">
      <c r="A926" s="50">
        <f t="shared" ref="A926:A928" si="285">IF(B926="","",ROW(A925))</f>
        <v>925</v>
      </c>
      <c r="B926" s="51">
        <v>45888</v>
      </c>
      <c r="C926" s="1" t="s">
        <v>26</v>
      </c>
      <c r="D926" s="52">
        <v>44</v>
      </c>
    </row>
    <row r="927" spans="1:4">
      <c r="A927" s="50">
        <f t="shared" si="285"/>
        <v>926</v>
      </c>
      <c r="B927" s="51">
        <v>45888</v>
      </c>
      <c r="C927" s="1" t="s">
        <v>23</v>
      </c>
      <c r="D927" s="52">
        <v>137</v>
      </c>
    </row>
    <row r="928" spans="1:4">
      <c r="A928" s="53">
        <f t="shared" si="285"/>
        <v>927</v>
      </c>
      <c r="B928" s="54">
        <v>45888</v>
      </c>
      <c r="C928" s="55" t="s">
        <v>45</v>
      </c>
      <c r="D928" s="56">
        <v>20</v>
      </c>
    </row>
    <row r="929" spans="1:4">
      <c r="A929" s="50">
        <f t="shared" ref="A929:A931" si="286">IF(B929="","",ROW(A928))</f>
        <v>928</v>
      </c>
      <c r="B929" s="51">
        <v>45889</v>
      </c>
      <c r="C929" s="1" t="s">
        <v>23</v>
      </c>
      <c r="D929" s="52">
        <v>137</v>
      </c>
    </row>
    <row r="930" spans="1:4">
      <c r="A930" s="50">
        <f t="shared" si="286"/>
        <v>929</v>
      </c>
      <c r="B930" s="51">
        <v>45889</v>
      </c>
      <c r="C930" s="1" t="s">
        <v>26</v>
      </c>
      <c r="D930" s="52">
        <v>44</v>
      </c>
    </row>
    <row r="931" spans="1:4">
      <c r="A931" s="53">
        <f t="shared" si="286"/>
        <v>930</v>
      </c>
      <c r="B931" s="54">
        <v>45889</v>
      </c>
      <c r="C931" s="55" t="s">
        <v>45</v>
      </c>
      <c r="D931" s="56">
        <v>20</v>
      </c>
    </row>
    <row r="932" spans="1:4">
      <c r="A932" s="50">
        <f t="shared" ref="A932:A934" si="287">IF(B932="","",ROW(A931))</f>
        <v>931</v>
      </c>
      <c r="B932" s="51">
        <v>45890</v>
      </c>
      <c r="C932" s="1" t="s">
        <v>26</v>
      </c>
      <c r="D932" s="52">
        <v>44</v>
      </c>
    </row>
    <row r="933" spans="1:4">
      <c r="A933" s="50">
        <f t="shared" si="287"/>
        <v>932</v>
      </c>
      <c r="B933" s="51">
        <v>45890</v>
      </c>
      <c r="C933" s="1" t="s">
        <v>45</v>
      </c>
      <c r="D933" s="52">
        <v>20</v>
      </c>
    </row>
    <row r="934" spans="1:4">
      <c r="A934" s="53">
        <f t="shared" si="287"/>
        <v>933</v>
      </c>
      <c r="B934" s="54">
        <v>45890</v>
      </c>
      <c r="C934" s="55" t="s">
        <v>23</v>
      </c>
      <c r="D934" s="56">
        <v>137</v>
      </c>
    </row>
    <row r="935" spans="1:4">
      <c r="A935" s="50">
        <f t="shared" ref="A935:A937" si="288">IF(B935="","",ROW(A934))</f>
        <v>934</v>
      </c>
      <c r="B935" s="51">
        <v>45891</v>
      </c>
      <c r="C935" s="1" t="s">
        <v>23</v>
      </c>
      <c r="D935" s="52">
        <v>137</v>
      </c>
    </row>
    <row r="936" spans="1:4">
      <c r="A936" s="50">
        <f t="shared" si="288"/>
        <v>935</v>
      </c>
      <c r="B936" s="51">
        <v>45891</v>
      </c>
      <c r="C936" s="1" t="s">
        <v>45</v>
      </c>
      <c r="D936" s="52">
        <v>20</v>
      </c>
    </row>
    <row r="937" spans="1:4">
      <c r="A937" s="53">
        <f t="shared" si="288"/>
        <v>936</v>
      </c>
      <c r="B937" s="54">
        <v>45891</v>
      </c>
      <c r="C937" s="55" t="s">
        <v>26</v>
      </c>
      <c r="D937" s="56">
        <v>44</v>
      </c>
    </row>
    <row r="938" spans="1:4">
      <c r="A938" s="50">
        <f t="shared" ref="A938:A940" si="289">IF(B938="","",ROW(A937))</f>
        <v>937</v>
      </c>
      <c r="B938" s="51">
        <v>45892</v>
      </c>
      <c r="C938" s="1" t="s">
        <v>23</v>
      </c>
      <c r="D938" s="52">
        <v>137</v>
      </c>
    </row>
    <row r="939" spans="1:4">
      <c r="A939" s="50">
        <f t="shared" si="289"/>
        <v>938</v>
      </c>
      <c r="B939" s="51">
        <v>45892</v>
      </c>
      <c r="C939" s="1" t="s">
        <v>45</v>
      </c>
      <c r="D939" s="52">
        <v>20</v>
      </c>
    </row>
    <row r="940" spans="1:4">
      <c r="A940" s="53">
        <f t="shared" si="289"/>
        <v>939</v>
      </c>
      <c r="B940" s="54">
        <v>45892</v>
      </c>
      <c r="C940" s="55" t="s">
        <v>26</v>
      </c>
      <c r="D940" s="56">
        <v>44</v>
      </c>
    </row>
    <row r="941" spans="1:4">
      <c r="A941" s="50">
        <f t="shared" ref="A941:A943" si="290">IF(B941="","",ROW(A940))</f>
        <v>940</v>
      </c>
      <c r="B941" s="51">
        <v>45893</v>
      </c>
      <c r="C941" s="1" t="s">
        <v>23</v>
      </c>
      <c r="D941" s="52">
        <v>137</v>
      </c>
    </row>
    <row r="942" spans="1:4">
      <c r="A942" s="50">
        <f t="shared" si="290"/>
        <v>941</v>
      </c>
      <c r="B942" s="51">
        <v>45893</v>
      </c>
      <c r="C942" s="1" t="s">
        <v>26</v>
      </c>
      <c r="D942" s="52">
        <v>44</v>
      </c>
    </row>
    <row r="943" spans="1:4">
      <c r="A943" s="53">
        <f t="shared" si="290"/>
        <v>942</v>
      </c>
      <c r="B943" s="54">
        <v>45893</v>
      </c>
      <c r="C943" s="55" t="s">
        <v>45</v>
      </c>
      <c r="D943" s="56">
        <v>20</v>
      </c>
    </row>
    <row r="944" spans="1:4">
      <c r="A944" s="50">
        <f t="shared" ref="A944:A946" si="291">IF(B944="","",ROW(A943))</f>
        <v>943</v>
      </c>
      <c r="B944" s="51">
        <v>45894</v>
      </c>
      <c r="C944" s="1" t="s">
        <v>45</v>
      </c>
      <c r="D944" s="52">
        <v>20</v>
      </c>
    </row>
    <row r="945" spans="1:4">
      <c r="A945" s="50">
        <f t="shared" si="291"/>
        <v>944</v>
      </c>
      <c r="B945" s="51">
        <v>45894</v>
      </c>
      <c r="C945" s="1" t="s">
        <v>23</v>
      </c>
      <c r="D945" s="52">
        <v>137</v>
      </c>
    </row>
    <row r="946" spans="1:4">
      <c r="A946" s="53">
        <f t="shared" si="291"/>
        <v>945</v>
      </c>
      <c r="B946" s="54">
        <v>45894</v>
      </c>
      <c r="C946" s="55" t="s">
        <v>26</v>
      </c>
      <c r="D946" s="56">
        <v>44</v>
      </c>
    </row>
    <row r="947" spans="1:4">
      <c r="A947" s="50">
        <f t="shared" ref="A947:A949" si="292">IF(B947="","",ROW(A946))</f>
        <v>946</v>
      </c>
      <c r="B947" s="51">
        <v>45895</v>
      </c>
      <c r="C947" s="1" t="s">
        <v>26</v>
      </c>
      <c r="D947" s="52">
        <v>44</v>
      </c>
    </row>
    <row r="948" spans="1:4">
      <c r="A948" s="50">
        <f t="shared" si="292"/>
        <v>947</v>
      </c>
      <c r="B948" s="51">
        <v>45895</v>
      </c>
      <c r="C948" s="1" t="s">
        <v>23</v>
      </c>
      <c r="D948" s="52">
        <v>137</v>
      </c>
    </row>
    <row r="949" spans="1:4">
      <c r="A949" s="53">
        <f t="shared" si="292"/>
        <v>948</v>
      </c>
      <c r="B949" s="54">
        <v>45895</v>
      </c>
      <c r="C949" s="55" t="s">
        <v>45</v>
      </c>
      <c r="D949" s="56">
        <v>20</v>
      </c>
    </row>
    <row r="950" spans="1:4">
      <c r="A950" s="50">
        <f t="shared" ref="A950:A952" si="293">IF(B950="","",ROW(A949))</f>
        <v>949</v>
      </c>
      <c r="B950" s="51">
        <v>45896</v>
      </c>
      <c r="C950" s="1" t="s">
        <v>45</v>
      </c>
      <c r="D950" s="52">
        <v>20</v>
      </c>
    </row>
    <row r="951" spans="1:4">
      <c r="A951" s="50">
        <f t="shared" si="293"/>
        <v>950</v>
      </c>
      <c r="B951" s="51">
        <v>45896</v>
      </c>
      <c r="C951" s="1" t="s">
        <v>26</v>
      </c>
      <c r="D951" s="52">
        <v>44</v>
      </c>
    </row>
    <row r="952" spans="1:4">
      <c r="A952" s="53">
        <f t="shared" si="293"/>
        <v>951</v>
      </c>
      <c r="B952" s="54">
        <v>45896</v>
      </c>
      <c r="C952" s="55" t="s">
        <v>23</v>
      </c>
      <c r="D952" s="56">
        <v>137</v>
      </c>
    </row>
    <row r="953" spans="1:4">
      <c r="A953" s="50">
        <f t="shared" ref="A953:A955" si="294">IF(B953="","",ROW(A952))</f>
        <v>952</v>
      </c>
      <c r="B953" s="51">
        <v>45897</v>
      </c>
      <c r="C953" s="1" t="s">
        <v>26</v>
      </c>
      <c r="D953" s="52">
        <v>44</v>
      </c>
    </row>
    <row r="954" spans="1:4">
      <c r="A954" s="50">
        <f t="shared" si="294"/>
        <v>953</v>
      </c>
      <c r="B954" s="51">
        <v>45897</v>
      </c>
      <c r="C954" s="1" t="s">
        <v>23</v>
      </c>
      <c r="D954" s="52">
        <v>137</v>
      </c>
    </row>
    <row r="955" spans="1:4">
      <c r="A955" s="53">
        <f t="shared" si="294"/>
        <v>954</v>
      </c>
      <c r="B955" s="54">
        <v>45897</v>
      </c>
      <c r="C955" s="55" t="s">
        <v>45</v>
      </c>
      <c r="D955" s="56">
        <v>20</v>
      </c>
    </row>
    <row r="956" spans="1:4">
      <c r="A956" s="50">
        <f t="shared" ref="A956:A958" si="295">IF(B956="","",ROW(A955))</f>
        <v>955</v>
      </c>
      <c r="B956" s="51">
        <v>45898</v>
      </c>
      <c r="C956" s="1" t="s">
        <v>23</v>
      </c>
      <c r="D956" s="52">
        <v>137</v>
      </c>
    </row>
    <row r="957" spans="1:4">
      <c r="A957" s="50">
        <f t="shared" si="295"/>
        <v>956</v>
      </c>
      <c r="B957" s="51">
        <v>45898</v>
      </c>
      <c r="C957" s="1" t="s">
        <v>26</v>
      </c>
      <c r="D957" s="52">
        <v>44</v>
      </c>
    </row>
    <row r="958" spans="1:4">
      <c r="A958" s="53">
        <f t="shared" si="295"/>
        <v>957</v>
      </c>
      <c r="B958" s="54">
        <v>45898</v>
      </c>
      <c r="C958" s="55" t="s">
        <v>45</v>
      </c>
      <c r="D958" s="56">
        <v>20</v>
      </c>
    </row>
    <row r="959" spans="1:4">
      <c r="A959" s="50">
        <f t="shared" ref="A959:A961" si="296">IF(B959="","",ROW(A958))</f>
        <v>958</v>
      </c>
      <c r="B959" s="51">
        <v>45899</v>
      </c>
      <c r="C959" s="1" t="s">
        <v>45</v>
      </c>
      <c r="D959" s="52">
        <v>20</v>
      </c>
    </row>
    <row r="960" spans="1:4">
      <c r="A960" s="50">
        <f t="shared" si="296"/>
        <v>959</v>
      </c>
      <c r="B960" s="51">
        <v>45899</v>
      </c>
      <c r="C960" s="1" t="s">
        <v>23</v>
      </c>
      <c r="D960" s="52">
        <v>137</v>
      </c>
    </row>
    <row r="961" spans="1:4">
      <c r="A961" s="53">
        <f t="shared" si="296"/>
        <v>960</v>
      </c>
      <c r="B961" s="54">
        <v>45899</v>
      </c>
      <c r="C961" s="55" t="s">
        <v>26</v>
      </c>
      <c r="D961" s="56">
        <v>44</v>
      </c>
    </row>
    <row r="962" spans="1:4">
      <c r="A962" s="50">
        <f t="shared" ref="A962:A964" si="297">IF(B962="","",ROW(A961))</f>
        <v>961</v>
      </c>
      <c r="B962" s="51">
        <v>45900</v>
      </c>
      <c r="C962" s="1" t="s">
        <v>45</v>
      </c>
      <c r="D962" s="52">
        <v>20</v>
      </c>
    </row>
    <row r="963" spans="1:4">
      <c r="A963" s="50">
        <f t="shared" si="297"/>
        <v>962</v>
      </c>
      <c r="B963" s="51">
        <v>45900</v>
      </c>
      <c r="C963" s="1" t="s">
        <v>26</v>
      </c>
      <c r="D963" s="52">
        <v>44</v>
      </c>
    </row>
    <row r="964" spans="1:4">
      <c r="A964" s="53">
        <f t="shared" si="297"/>
        <v>963</v>
      </c>
      <c r="B964" s="54">
        <v>45900</v>
      </c>
      <c r="C964" s="55" t="s">
        <v>23</v>
      </c>
      <c r="D964" s="56">
        <v>137</v>
      </c>
    </row>
    <row r="965" spans="1:4">
      <c r="A965" s="50">
        <f t="shared" ref="A965:A967" si="298">IF(B965="","",ROW(A964))</f>
        <v>964</v>
      </c>
      <c r="B965" s="51">
        <v>45901</v>
      </c>
      <c r="C965" s="1" t="s">
        <v>45</v>
      </c>
      <c r="D965" s="52">
        <v>20</v>
      </c>
    </row>
    <row r="966" spans="1:4">
      <c r="A966" s="50">
        <f t="shared" si="298"/>
        <v>965</v>
      </c>
      <c r="B966" s="51">
        <v>45901</v>
      </c>
      <c r="C966" s="1" t="s">
        <v>23</v>
      </c>
      <c r="D966" s="52">
        <v>137</v>
      </c>
    </row>
    <row r="967" spans="1:4">
      <c r="A967" s="53">
        <f t="shared" si="298"/>
        <v>966</v>
      </c>
      <c r="B967" s="54">
        <v>45901</v>
      </c>
      <c r="C967" s="55" t="s">
        <v>26</v>
      </c>
      <c r="D967" s="56">
        <v>44</v>
      </c>
    </row>
    <row r="968" spans="1:4">
      <c r="A968" s="50">
        <f t="shared" ref="A968:A970" si="299">IF(B968="","",ROW(A967))</f>
        <v>967</v>
      </c>
      <c r="B968" s="51">
        <v>45902</v>
      </c>
      <c r="C968" s="1" t="s">
        <v>45</v>
      </c>
      <c r="D968" s="52">
        <v>20</v>
      </c>
    </row>
    <row r="969" spans="1:4">
      <c r="A969" s="50">
        <f t="shared" si="299"/>
        <v>968</v>
      </c>
      <c r="B969" s="51">
        <v>45902</v>
      </c>
      <c r="C969" s="1" t="s">
        <v>23</v>
      </c>
      <c r="D969" s="52">
        <v>137</v>
      </c>
    </row>
    <row r="970" spans="1:4">
      <c r="A970" s="53">
        <f t="shared" si="299"/>
        <v>969</v>
      </c>
      <c r="B970" s="54">
        <v>45902</v>
      </c>
      <c r="C970" s="55" t="s">
        <v>26</v>
      </c>
      <c r="D970" s="56">
        <v>44</v>
      </c>
    </row>
    <row r="971" spans="1:4">
      <c r="A971" s="50">
        <f t="shared" ref="A971:A973" si="300">IF(B971="","",ROW(A970))</f>
        <v>970</v>
      </c>
      <c r="B971" s="51">
        <v>45903</v>
      </c>
      <c r="C971" s="1" t="s">
        <v>26</v>
      </c>
      <c r="D971" s="52">
        <v>44</v>
      </c>
    </row>
    <row r="972" spans="1:4">
      <c r="A972" s="50">
        <f t="shared" si="300"/>
        <v>971</v>
      </c>
      <c r="B972" s="51">
        <v>45903</v>
      </c>
      <c r="C972" s="1" t="s">
        <v>45</v>
      </c>
      <c r="D972" s="52">
        <v>20</v>
      </c>
    </row>
    <row r="973" spans="1:4">
      <c r="A973" s="53">
        <f t="shared" si="300"/>
        <v>972</v>
      </c>
      <c r="B973" s="54">
        <v>45903</v>
      </c>
      <c r="C973" s="55" t="s">
        <v>23</v>
      </c>
      <c r="D973" s="56">
        <v>137</v>
      </c>
    </row>
    <row r="974" spans="1:4">
      <c r="A974" s="50">
        <f t="shared" ref="A974:A976" si="301">IF(B974="","",ROW(A973))</f>
        <v>973</v>
      </c>
      <c r="B974" s="51">
        <v>45904</v>
      </c>
      <c r="C974" s="1" t="s">
        <v>45</v>
      </c>
      <c r="D974" s="52">
        <v>20</v>
      </c>
    </row>
    <row r="975" spans="1:4">
      <c r="A975" s="50">
        <f t="shared" si="301"/>
        <v>974</v>
      </c>
      <c r="B975" s="51">
        <v>45904</v>
      </c>
      <c r="C975" s="1" t="s">
        <v>23</v>
      </c>
      <c r="D975" s="52">
        <v>137</v>
      </c>
    </row>
    <row r="976" spans="1:4">
      <c r="A976" s="53">
        <f t="shared" si="301"/>
        <v>975</v>
      </c>
      <c r="B976" s="54">
        <v>45904</v>
      </c>
      <c r="C976" s="55" t="s">
        <v>26</v>
      </c>
      <c r="D976" s="56">
        <v>44</v>
      </c>
    </row>
    <row r="977" spans="1:4">
      <c r="A977" s="50">
        <f t="shared" ref="A977:A979" si="302">IF(B977="","",ROW(A976))</f>
        <v>976</v>
      </c>
      <c r="B977" s="51">
        <v>45905</v>
      </c>
      <c r="C977" s="1" t="s">
        <v>45</v>
      </c>
      <c r="D977" s="52">
        <v>20</v>
      </c>
    </row>
    <row r="978" spans="1:4">
      <c r="A978" s="50">
        <f t="shared" si="302"/>
        <v>977</v>
      </c>
      <c r="B978" s="51">
        <v>45905</v>
      </c>
      <c r="C978" s="1" t="s">
        <v>23</v>
      </c>
      <c r="D978" s="52">
        <v>137</v>
      </c>
    </row>
    <row r="979" spans="1:4">
      <c r="A979" s="53">
        <f t="shared" si="302"/>
        <v>978</v>
      </c>
      <c r="B979" s="54">
        <v>45905</v>
      </c>
      <c r="C979" s="55" t="s">
        <v>26</v>
      </c>
      <c r="D979" s="56">
        <v>44</v>
      </c>
    </row>
    <row r="980" spans="1:4">
      <c r="A980" s="50">
        <f t="shared" ref="A980:A982" si="303">IF(B980="","",ROW(A979))</f>
        <v>979</v>
      </c>
      <c r="B980" s="51">
        <v>45906</v>
      </c>
      <c r="C980" s="1" t="s">
        <v>45</v>
      </c>
      <c r="D980" s="52">
        <v>20</v>
      </c>
    </row>
    <row r="981" spans="1:4">
      <c r="A981" s="50">
        <f t="shared" si="303"/>
        <v>980</v>
      </c>
      <c r="B981" s="51">
        <v>45906</v>
      </c>
      <c r="C981" s="1" t="s">
        <v>26</v>
      </c>
      <c r="D981" s="52">
        <v>44</v>
      </c>
    </row>
    <row r="982" spans="1:4">
      <c r="A982" s="53">
        <f t="shared" si="303"/>
        <v>981</v>
      </c>
      <c r="B982" s="54">
        <v>45906</v>
      </c>
      <c r="C982" s="55" t="s">
        <v>23</v>
      </c>
      <c r="D982" s="56">
        <v>137</v>
      </c>
    </row>
    <row r="983" spans="1:4">
      <c r="A983" s="50">
        <f t="shared" ref="A983:A985" si="304">IF(B983="","",ROW(A982))</f>
        <v>982</v>
      </c>
      <c r="B983" s="51">
        <v>45907</v>
      </c>
      <c r="C983" s="1" t="s">
        <v>45</v>
      </c>
      <c r="D983" s="52">
        <v>20</v>
      </c>
    </row>
    <row r="984" spans="1:4">
      <c r="A984" s="50">
        <f t="shared" si="304"/>
        <v>983</v>
      </c>
      <c r="B984" s="51">
        <v>45907</v>
      </c>
      <c r="C984" s="1" t="s">
        <v>26</v>
      </c>
      <c r="D984" s="52">
        <v>44</v>
      </c>
    </row>
    <row r="985" spans="1:4">
      <c r="A985" s="53">
        <f t="shared" si="304"/>
        <v>984</v>
      </c>
      <c r="B985" s="54">
        <v>45907</v>
      </c>
      <c r="C985" s="55" t="s">
        <v>23</v>
      </c>
      <c r="D985" s="56">
        <v>137</v>
      </c>
    </row>
    <row r="986" spans="1:4">
      <c r="A986" s="50">
        <f t="shared" ref="A986:A988" si="305">IF(B986="","",ROW(A985))</f>
        <v>985</v>
      </c>
      <c r="B986" s="51">
        <v>45908</v>
      </c>
      <c r="C986" s="1" t="s">
        <v>26</v>
      </c>
      <c r="D986" s="52">
        <v>44</v>
      </c>
    </row>
    <row r="987" spans="1:4">
      <c r="A987" s="50">
        <f t="shared" si="305"/>
        <v>986</v>
      </c>
      <c r="B987" s="51">
        <v>45908</v>
      </c>
      <c r="C987" s="1" t="s">
        <v>23</v>
      </c>
      <c r="D987" s="52">
        <v>137</v>
      </c>
    </row>
    <row r="988" spans="1:4">
      <c r="A988" s="53">
        <f t="shared" si="305"/>
        <v>987</v>
      </c>
      <c r="B988" s="54">
        <v>45908</v>
      </c>
      <c r="C988" s="55" t="s">
        <v>45</v>
      </c>
      <c r="D988" s="56">
        <v>20</v>
      </c>
    </row>
    <row r="989" spans="1:4">
      <c r="A989" s="50">
        <f t="shared" ref="A989:A991" si="306">IF(B989="","",ROW(A988))</f>
        <v>988</v>
      </c>
      <c r="B989" s="51">
        <v>45909</v>
      </c>
      <c r="C989" s="1" t="s">
        <v>45</v>
      </c>
      <c r="D989" s="52">
        <v>20</v>
      </c>
    </row>
    <row r="990" spans="1:4">
      <c r="A990" s="50">
        <f t="shared" si="306"/>
        <v>989</v>
      </c>
      <c r="B990" s="51">
        <v>45909</v>
      </c>
      <c r="C990" s="1" t="s">
        <v>26</v>
      </c>
      <c r="D990" s="52">
        <v>44</v>
      </c>
    </row>
    <row r="991" spans="1:4">
      <c r="A991" s="53">
        <f t="shared" si="306"/>
        <v>990</v>
      </c>
      <c r="B991" s="54">
        <v>45909</v>
      </c>
      <c r="C991" s="55" t="s">
        <v>23</v>
      </c>
      <c r="D991" s="56">
        <v>137</v>
      </c>
    </row>
    <row r="992" spans="1:4">
      <c r="A992" s="50">
        <f t="shared" ref="A992:A994" si="307">IF(B992="","",ROW(A991))</f>
        <v>991</v>
      </c>
      <c r="B992" s="51">
        <v>45910</v>
      </c>
      <c r="C992" s="1" t="s">
        <v>45</v>
      </c>
      <c r="D992" s="52">
        <v>20</v>
      </c>
    </row>
    <row r="993" spans="1:4">
      <c r="A993" s="50">
        <f t="shared" si="307"/>
        <v>992</v>
      </c>
      <c r="B993" s="51">
        <v>45910</v>
      </c>
      <c r="C993" s="1" t="s">
        <v>23</v>
      </c>
      <c r="D993" s="52">
        <v>137</v>
      </c>
    </row>
    <row r="994" spans="1:4">
      <c r="A994" s="53">
        <f t="shared" si="307"/>
        <v>993</v>
      </c>
      <c r="B994" s="54">
        <v>45910</v>
      </c>
      <c r="C994" s="55" t="s">
        <v>26</v>
      </c>
      <c r="D994" s="56">
        <v>44</v>
      </c>
    </row>
    <row r="995" spans="1:4">
      <c r="A995" s="50">
        <f t="shared" ref="A995:A997" si="308">IF(B995="","",ROW(A994))</f>
        <v>994</v>
      </c>
      <c r="B995" s="51">
        <v>45911</v>
      </c>
      <c r="C995" s="1" t="s">
        <v>26</v>
      </c>
      <c r="D995" s="52">
        <v>44</v>
      </c>
    </row>
    <row r="996" spans="1:4">
      <c r="A996" s="50">
        <f t="shared" si="308"/>
        <v>995</v>
      </c>
      <c r="B996" s="51">
        <v>45911</v>
      </c>
      <c r="C996" s="1" t="s">
        <v>45</v>
      </c>
      <c r="D996" s="52">
        <v>20</v>
      </c>
    </row>
    <row r="997" spans="1:4">
      <c r="A997" s="53">
        <f t="shared" si="308"/>
        <v>996</v>
      </c>
      <c r="B997" s="54">
        <v>45911</v>
      </c>
      <c r="C997" s="55" t="s">
        <v>23</v>
      </c>
      <c r="D997" s="56">
        <v>137</v>
      </c>
    </row>
    <row r="998" spans="1:4">
      <c r="A998" s="50">
        <f t="shared" ref="A998:A1000" si="309">IF(B998="","",ROW(A997))</f>
        <v>997</v>
      </c>
      <c r="B998" s="51">
        <v>45912</v>
      </c>
      <c r="C998" s="1" t="s">
        <v>26</v>
      </c>
      <c r="D998" s="52">
        <v>44</v>
      </c>
    </row>
    <row r="999" spans="1:4">
      <c r="A999" s="50">
        <f t="shared" si="309"/>
        <v>998</v>
      </c>
      <c r="B999" s="51">
        <v>45912</v>
      </c>
      <c r="C999" s="1" t="s">
        <v>45</v>
      </c>
      <c r="D999" s="52">
        <v>20</v>
      </c>
    </row>
    <row r="1000" spans="1:4">
      <c r="A1000" s="53">
        <f t="shared" si="309"/>
        <v>999</v>
      </c>
      <c r="B1000" s="54">
        <v>45912</v>
      </c>
      <c r="C1000" s="55" t="s">
        <v>23</v>
      </c>
      <c r="D1000" s="56">
        <v>137</v>
      </c>
    </row>
    <row r="1001" spans="1:4">
      <c r="A1001" s="50">
        <f t="shared" ref="A1001:A1003" si="310">IF(B1001="","",ROW(A1000))</f>
        <v>1000</v>
      </c>
      <c r="B1001" s="51">
        <v>45913</v>
      </c>
      <c r="C1001" s="1" t="s">
        <v>26</v>
      </c>
      <c r="D1001" s="52">
        <v>44</v>
      </c>
    </row>
    <row r="1002" spans="1:4">
      <c r="A1002" s="50">
        <f t="shared" si="310"/>
        <v>1001</v>
      </c>
      <c r="B1002" s="51">
        <v>45913</v>
      </c>
      <c r="C1002" s="1" t="s">
        <v>23</v>
      </c>
      <c r="D1002" s="52">
        <v>137</v>
      </c>
    </row>
    <row r="1003" spans="1:4">
      <c r="A1003" s="53">
        <f t="shared" si="310"/>
        <v>1002</v>
      </c>
      <c r="B1003" s="54">
        <v>45913</v>
      </c>
      <c r="C1003" s="55" t="s">
        <v>45</v>
      </c>
      <c r="D1003" s="56">
        <v>20</v>
      </c>
    </row>
    <row r="1004" spans="1:4">
      <c r="A1004" s="50">
        <f t="shared" ref="A1004:A1006" si="311">IF(B1004="","",ROW(A1003))</f>
        <v>1003</v>
      </c>
      <c r="B1004" s="51">
        <v>45914</v>
      </c>
      <c r="C1004" s="1" t="s">
        <v>26</v>
      </c>
      <c r="D1004" s="52">
        <v>44</v>
      </c>
    </row>
    <row r="1005" spans="1:4">
      <c r="A1005" s="50">
        <f t="shared" si="311"/>
        <v>1004</v>
      </c>
      <c r="B1005" s="51">
        <v>45914</v>
      </c>
      <c r="C1005" s="1" t="s">
        <v>45</v>
      </c>
      <c r="D1005" s="52">
        <v>20</v>
      </c>
    </row>
    <row r="1006" spans="1:4">
      <c r="A1006" s="53">
        <f t="shared" si="311"/>
        <v>1005</v>
      </c>
      <c r="B1006" s="54">
        <v>45914</v>
      </c>
      <c r="C1006" s="55" t="s">
        <v>23</v>
      </c>
      <c r="D1006" s="56">
        <v>137</v>
      </c>
    </row>
    <row r="1007" spans="1:4">
      <c r="A1007" s="50">
        <f t="shared" ref="A1007:A1009" si="312">IF(B1007="","",ROW(A1006))</f>
        <v>1006</v>
      </c>
      <c r="B1007" s="51">
        <v>45915</v>
      </c>
      <c r="C1007" s="1" t="s">
        <v>26</v>
      </c>
      <c r="D1007" s="52">
        <v>44</v>
      </c>
    </row>
    <row r="1008" spans="1:4">
      <c r="A1008" s="50">
        <f t="shared" si="312"/>
        <v>1007</v>
      </c>
      <c r="B1008" s="51">
        <v>45915</v>
      </c>
      <c r="C1008" s="1" t="s">
        <v>23</v>
      </c>
      <c r="D1008" s="52">
        <v>137</v>
      </c>
    </row>
    <row r="1009" spans="1:4">
      <c r="A1009" s="53">
        <f t="shared" si="312"/>
        <v>1008</v>
      </c>
      <c r="B1009" s="54">
        <v>45915</v>
      </c>
      <c r="C1009" s="55" t="s">
        <v>45</v>
      </c>
      <c r="D1009" s="56">
        <v>20</v>
      </c>
    </row>
    <row r="1010" spans="1:4">
      <c r="A1010" s="50">
        <f t="shared" ref="A1010:A1012" si="313">IF(B1010="","",ROW(A1009))</f>
        <v>1009</v>
      </c>
      <c r="B1010" s="51">
        <v>45916</v>
      </c>
      <c r="C1010" s="1" t="s">
        <v>26</v>
      </c>
      <c r="D1010" s="52">
        <v>44</v>
      </c>
    </row>
    <row r="1011" spans="1:4">
      <c r="A1011" s="50">
        <f t="shared" si="313"/>
        <v>1010</v>
      </c>
      <c r="B1011" s="51">
        <v>45916</v>
      </c>
      <c r="C1011" s="1" t="s">
        <v>23</v>
      </c>
      <c r="D1011" s="52">
        <v>137</v>
      </c>
    </row>
    <row r="1012" spans="1:4">
      <c r="A1012" s="53">
        <f t="shared" si="313"/>
        <v>1011</v>
      </c>
      <c r="B1012" s="54">
        <v>45916</v>
      </c>
      <c r="C1012" s="55" t="s">
        <v>45</v>
      </c>
      <c r="D1012" s="56">
        <v>20</v>
      </c>
    </row>
    <row r="1013" spans="1:4">
      <c r="A1013" s="50">
        <f t="shared" ref="A1013:A1015" si="314">IF(B1013="","",ROW(A1012))</f>
        <v>1012</v>
      </c>
      <c r="B1013" s="51">
        <v>45917</v>
      </c>
      <c r="C1013" s="1" t="s">
        <v>45</v>
      </c>
      <c r="D1013" s="52">
        <v>20</v>
      </c>
    </row>
    <row r="1014" spans="1:4">
      <c r="A1014" s="50">
        <f t="shared" si="314"/>
        <v>1013</v>
      </c>
      <c r="B1014" s="51">
        <v>45917</v>
      </c>
      <c r="C1014" s="1" t="s">
        <v>23</v>
      </c>
      <c r="D1014" s="52">
        <v>137</v>
      </c>
    </row>
    <row r="1015" spans="1:4">
      <c r="A1015" s="53">
        <f t="shared" si="314"/>
        <v>1014</v>
      </c>
      <c r="B1015" s="54">
        <v>45917</v>
      </c>
      <c r="C1015" s="55" t="s">
        <v>26</v>
      </c>
      <c r="D1015" s="56">
        <v>44</v>
      </c>
    </row>
    <row r="1016" spans="1:4">
      <c r="A1016" s="50">
        <f t="shared" ref="A1016:A1018" si="315">IF(B1016="","",ROW(A1015))</f>
        <v>1015</v>
      </c>
      <c r="B1016" s="51">
        <v>45918</v>
      </c>
      <c r="C1016" s="1" t="s">
        <v>45</v>
      </c>
      <c r="D1016" s="52">
        <v>20</v>
      </c>
    </row>
    <row r="1017" spans="1:4">
      <c r="A1017" s="50">
        <f t="shared" si="315"/>
        <v>1016</v>
      </c>
      <c r="B1017" s="51">
        <v>45918</v>
      </c>
      <c r="C1017" s="1" t="s">
        <v>26</v>
      </c>
      <c r="D1017" s="52">
        <v>44</v>
      </c>
    </row>
    <row r="1018" spans="1:4">
      <c r="A1018" s="53">
        <f t="shared" si="315"/>
        <v>1017</v>
      </c>
      <c r="B1018" s="54">
        <v>45918</v>
      </c>
      <c r="C1018" s="55" t="s">
        <v>23</v>
      </c>
      <c r="D1018" s="56">
        <v>137</v>
      </c>
    </row>
    <row r="1019" spans="1:4">
      <c r="A1019" s="50">
        <f t="shared" ref="A1019:A1021" si="316">IF(B1019="","",ROW(A1018))</f>
        <v>1018</v>
      </c>
      <c r="B1019" s="51">
        <v>45919</v>
      </c>
      <c r="C1019" s="1" t="s">
        <v>45</v>
      </c>
      <c r="D1019" s="52">
        <v>20</v>
      </c>
    </row>
    <row r="1020" spans="1:4">
      <c r="A1020" s="50">
        <f t="shared" si="316"/>
        <v>1019</v>
      </c>
      <c r="B1020" s="51">
        <v>45919</v>
      </c>
      <c r="C1020" s="1" t="s">
        <v>23</v>
      </c>
      <c r="D1020" s="52">
        <v>137</v>
      </c>
    </row>
    <row r="1021" spans="1:4">
      <c r="A1021" s="53">
        <f t="shared" si="316"/>
        <v>1020</v>
      </c>
      <c r="B1021" s="54">
        <v>45919</v>
      </c>
      <c r="C1021" s="55" t="s">
        <v>26</v>
      </c>
      <c r="D1021" s="56">
        <v>44</v>
      </c>
    </row>
    <row r="1022" spans="1:4">
      <c r="A1022" s="50">
        <f t="shared" ref="A1022:A1024" si="317">IF(B1022="","",ROW(A1021))</f>
        <v>1021</v>
      </c>
      <c r="B1022" s="51">
        <v>45920</v>
      </c>
      <c r="C1022" s="1" t="s">
        <v>23</v>
      </c>
      <c r="D1022" s="52">
        <v>137</v>
      </c>
    </row>
    <row r="1023" spans="1:4">
      <c r="A1023" s="50">
        <f t="shared" si="317"/>
        <v>1022</v>
      </c>
      <c r="B1023" s="51">
        <v>45920</v>
      </c>
      <c r="C1023" s="1" t="s">
        <v>26</v>
      </c>
      <c r="D1023" s="52">
        <v>44</v>
      </c>
    </row>
    <row r="1024" spans="1:4">
      <c r="A1024" s="53">
        <f t="shared" si="317"/>
        <v>1023</v>
      </c>
      <c r="B1024" s="54">
        <v>45920</v>
      </c>
      <c r="C1024" s="55" t="s">
        <v>45</v>
      </c>
      <c r="D1024" s="56">
        <v>20</v>
      </c>
    </row>
    <row r="1025" spans="1:4">
      <c r="A1025" s="50">
        <f t="shared" ref="A1025:A1027" si="318">IF(B1025="","",ROW(A1024))</f>
        <v>1024</v>
      </c>
      <c r="B1025" s="51">
        <v>45921</v>
      </c>
      <c r="C1025" s="1" t="s">
        <v>23</v>
      </c>
      <c r="D1025" s="52">
        <v>137</v>
      </c>
    </row>
    <row r="1026" spans="1:4">
      <c r="A1026" s="50">
        <f t="shared" si="318"/>
        <v>1025</v>
      </c>
      <c r="B1026" s="51">
        <v>45921</v>
      </c>
      <c r="C1026" s="1" t="s">
        <v>45</v>
      </c>
      <c r="D1026" s="52">
        <v>20</v>
      </c>
    </row>
    <row r="1027" spans="1:4">
      <c r="A1027" s="53">
        <f t="shared" si="318"/>
        <v>1026</v>
      </c>
      <c r="B1027" s="54">
        <v>45921</v>
      </c>
      <c r="C1027" s="55" t="s">
        <v>26</v>
      </c>
      <c r="D1027" s="56">
        <v>44</v>
      </c>
    </row>
    <row r="1028" spans="1:4">
      <c r="A1028" s="50">
        <f t="shared" ref="A1028:A1030" si="319">IF(B1028="","",ROW(A1027))</f>
        <v>1027</v>
      </c>
      <c r="B1028" s="51">
        <v>45922</v>
      </c>
      <c r="C1028" s="1" t="s">
        <v>23</v>
      </c>
      <c r="D1028" s="52">
        <v>137</v>
      </c>
    </row>
    <row r="1029" spans="1:4">
      <c r="A1029" s="50">
        <f t="shared" si="319"/>
        <v>1028</v>
      </c>
      <c r="B1029" s="51">
        <v>45922</v>
      </c>
      <c r="C1029" s="1" t="s">
        <v>26</v>
      </c>
      <c r="D1029" s="52">
        <v>44</v>
      </c>
    </row>
    <row r="1030" spans="1:4">
      <c r="A1030" s="53">
        <f t="shared" si="319"/>
        <v>1029</v>
      </c>
      <c r="B1030" s="54">
        <v>45922</v>
      </c>
      <c r="C1030" s="55" t="s">
        <v>45</v>
      </c>
      <c r="D1030" s="56">
        <v>20</v>
      </c>
    </row>
    <row r="1031" spans="1:4">
      <c r="A1031" s="50">
        <f t="shared" ref="A1031:A1033" si="320">IF(B1031="","",ROW(A1030))</f>
        <v>1030</v>
      </c>
      <c r="B1031" s="51">
        <v>45923</v>
      </c>
      <c r="C1031" s="1" t="s">
        <v>45</v>
      </c>
      <c r="D1031" s="52">
        <v>20</v>
      </c>
    </row>
    <row r="1032" spans="1:4">
      <c r="A1032" s="50">
        <f t="shared" si="320"/>
        <v>1031</v>
      </c>
      <c r="B1032" s="51">
        <v>45923</v>
      </c>
      <c r="C1032" s="1" t="s">
        <v>26</v>
      </c>
      <c r="D1032" s="52">
        <v>44</v>
      </c>
    </row>
    <row r="1033" spans="1:4">
      <c r="A1033" s="53">
        <f t="shared" si="320"/>
        <v>1032</v>
      </c>
      <c r="B1033" s="54">
        <v>45923</v>
      </c>
      <c r="C1033" s="55" t="s">
        <v>23</v>
      </c>
      <c r="D1033" s="56">
        <v>137</v>
      </c>
    </row>
    <row r="1034" spans="1:4">
      <c r="A1034" s="50">
        <f t="shared" ref="A1034:A1036" si="321">IF(B1034="","",ROW(A1033))</f>
        <v>1033</v>
      </c>
      <c r="B1034" s="51">
        <v>45924</v>
      </c>
      <c r="C1034" s="1" t="s">
        <v>45</v>
      </c>
      <c r="D1034" s="52">
        <v>20</v>
      </c>
    </row>
    <row r="1035" spans="1:4">
      <c r="A1035" s="50">
        <f t="shared" si="321"/>
        <v>1034</v>
      </c>
      <c r="B1035" s="51">
        <v>45924</v>
      </c>
      <c r="C1035" s="1" t="s">
        <v>23</v>
      </c>
      <c r="D1035" s="52">
        <v>137</v>
      </c>
    </row>
    <row r="1036" spans="1:4">
      <c r="A1036" s="53">
        <f t="shared" si="321"/>
        <v>1035</v>
      </c>
      <c r="B1036" s="54">
        <v>45924</v>
      </c>
      <c r="C1036" s="55" t="s">
        <v>26</v>
      </c>
      <c r="D1036" s="56">
        <v>44</v>
      </c>
    </row>
    <row r="1037" spans="1:4">
      <c r="A1037" s="50">
        <f t="shared" ref="A1037:A1039" si="322">IF(B1037="","",ROW(A1036))</f>
        <v>1036</v>
      </c>
      <c r="B1037" s="51">
        <v>45925</v>
      </c>
      <c r="C1037" s="1" t="s">
        <v>26</v>
      </c>
      <c r="D1037" s="52">
        <v>44</v>
      </c>
    </row>
    <row r="1038" spans="1:4">
      <c r="A1038" s="50">
        <f t="shared" si="322"/>
        <v>1037</v>
      </c>
      <c r="B1038" s="51">
        <v>45925</v>
      </c>
      <c r="C1038" s="1" t="s">
        <v>45</v>
      </c>
      <c r="D1038" s="52">
        <v>20</v>
      </c>
    </row>
    <row r="1039" spans="1:4">
      <c r="A1039" s="53">
        <f t="shared" si="322"/>
        <v>1038</v>
      </c>
      <c r="B1039" s="54">
        <v>45925</v>
      </c>
      <c r="C1039" s="55" t="s">
        <v>23</v>
      </c>
      <c r="D1039" s="56">
        <v>137</v>
      </c>
    </row>
    <row r="1040" spans="1:4">
      <c r="A1040" s="50">
        <f t="shared" ref="A1040:A1042" si="323">IF(B1040="","",ROW(A1039))</f>
        <v>1039</v>
      </c>
      <c r="B1040" s="51">
        <v>45926</v>
      </c>
      <c r="C1040" s="1" t="s">
        <v>23</v>
      </c>
      <c r="D1040" s="52">
        <v>137</v>
      </c>
    </row>
    <row r="1041" spans="1:4">
      <c r="A1041" s="50">
        <f t="shared" si="323"/>
        <v>1040</v>
      </c>
      <c r="B1041" s="51">
        <v>45926</v>
      </c>
      <c r="C1041" s="1" t="s">
        <v>45</v>
      </c>
      <c r="D1041" s="52">
        <v>20</v>
      </c>
    </row>
    <row r="1042" spans="1:4">
      <c r="A1042" s="53">
        <f t="shared" si="323"/>
        <v>1041</v>
      </c>
      <c r="B1042" s="54">
        <v>45926</v>
      </c>
      <c r="C1042" s="55" t="s">
        <v>26</v>
      </c>
      <c r="D1042" s="56">
        <v>44</v>
      </c>
    </row>
    <row r="1043" spans="1:4">
      <c r="A1043" s="50">
        <f t="shared" ref="A1043:A1045" si="324">IF(B1043="","",ROW(A1042))</f>
        <v>1042</v>
      </c>
      <c r="B1043" s="51">
        <v>45927</v>
      </c>
      <c r="C1043" s="1" t="s">
        <v>26</v>
      </c>
      <c r="D1043" s="52">
        <v>44</v>
      </c>
    </row>
    <row r="1044" spans="1:4">
      <c r="A1044" s="50">
        <f t="shared" si="324"/>
        <v>1043</v>
      </c>
      <c r="B1044" s="51">
        <v>45927</v>
      </c>
      <c r="C1044" s="1" t="s">
        <v>45</v>
      </c>
      <c r="D1044" s="52">
        <v>20</v>
      </c>
    </row>
    <row r="1045" spans="1:4">
      <c r="A1045" s="53">
        <f t="shared" si="324"/>
        <v>1044</v>
      </c>
      <c r="B1045" s="54">
        <v>45927</v>
      </c>
      <c r="C1045" s="55" t="s">
        <v>23</v>
      </c>
      <c r="D1045" s="56">
        <v>137</v>
      </c>
    </row>
    <row r="1046" spans="1:4">
      <c r="A1046" s="50">
        <f t="shared" ref="A1046:A1048" si="325">IF(B1046="","",ROW(A1045))</f>
        <v>1045</v>
      </c>
      <c r="B1046" s="51">
        <v>45928</v>
      </c>
      <c r="C1046" s="1" t="s">
        <v>26</v>
      </c>
      <c r="D1046" s="52">
        <v>44</v>
      </c>
    </row>
    <row r="1047" spans="1:4">
      <c r="A1047" s="50">
        <f t="shared" si="325"/>
        <v>1046</v>
      </c>
      <c r="B1047" s="51">
        <v>45928</v>
      </c>
      <c r="C1047" s="1" t="s">
        <v>45</v>
      </c>
      <c r="D1047" s="52">
        <v>20</v>
      </c>
    </row>
    <row r="1048" spans="1:4">
      <c r="A1048" s="53">
        <f t="shared" si="325"/>
        <v>1047</v>
      </c>
      <c r="B1048" s="54">
        <v>45928</v>
      </c>
      <c r="C1048" s="55" t="s">
        <v>23</v>
      </c>
      <c r="D1048" s="56">
        <v>137</v>
      </c>
    </row>
    <row r="1049" spans="1:4">
      <c r="A1049" s="50">
        <f t="shared" ref="A1049:A1051" si="326">IF(B1049="","",ROW(A1048))</f>
        <v>1048</v>
      </c>
      <c r="B1049" s="51">
        <v>45929</v>
      </c>
      <c r="C1049" s="1" t="s">
        <v>45</v>
      </c>
      <c r="D1049" s="52">
        <v>20</v>
      </c>
    </row>
    <row r="1050" spans="1:4">
      <c r="A1050" s="50">
        <f t="shared" si="326"/>
        <v>1049</v>
      </c>
      <c r="B1050" s="51">
        <v>45929</v>
      </c>
      <c r="C1050" s="1" t="s">
        <v>23</v>
      </c>
      <c r="D1050" s="52">
        <v>137</v>
      </c>
    </row>
    <row r="1051" spans="1:4">
      <c r="A1051" s="53">
        <f t="shared" si="326"/>
        <v>1050</v>
      </c>
      <c r="B1051" s="54">
        <v>45929</v>
      </c>
      <c r="C1051" s="55" t="s">
        <v>26</v>
      </c>
      <c r="D1051" s="56">
        <v>44</v>
      </c>
    </row>
    <row r="1052" spans="1:4">
      <c r="A1052" s="50">
        <f t="shared" ref="A1052:A1054" si="327">IF(B1052="","",ROW(A1051))</f>
        <v>1051</v>
      </c>
      <c r="B1052" s="51">
        <v>45930</v>
      </c>
      <c r="C1052" s="1" t="s">
        <v>45</v>
      </c>
      <c r="D1052" s="52">
        <v>20</v>
      </c>
    </row>
    <row r="1053" spans="1:4">
      <c r="A1053" s="50">
        <f t="shared" si="327"/>
        <v>1052</v>
      </c>
      <c r="B1053" s="51">
        <v>45930</v>
      </c>
      <c r="C1053" s="1" t="s">
        <v>23</v>
      </c>
      <c r="D1053" s="52">
        <v>137</v>
      </c>
    </row>
    <row r="1054" spans="1:4">
      <c r="A1054" s="53">
        <f t="shared" si="327"/>
        <v>1053</v>
      </c>
      <c r="B1054" s="54">
        <v>45930</v>
      </c>
      <c r="C1054" s="55" t="s">
        <v>26</v>
      </c>
      <c r="D1054" s="56">
        <v>44</v>
      </c>
    </row>
    <row r="1055" spans="1:4">
      <c r="A1055" s="50">
        <f t="shared" ref="A1055:A1057" si="328">IF(B1055="","",ROW(A1054))</f>
        <v>1054</v>
      </c>
      <c r="B1055" s="51">
        <v>45931</v>
      </c>
      <c r="C1055" s="1" t="s">
        <v>45</v>
      </c>
      <c r="D1055" s="52">
        <v>20</v>
      </c>
    </row>
    <row r="1056" spans="1:4">
      <c r="A1056" s="50">
        <f t="shared" si="328"/>
        <v>1055</v>
      </c>
      <c r="B1056" s="51">
        <v>45931</v>
      </c>
      <c r="C1056" s="1" t="s">
        <v>26</v>
      </c>
      <c r="D1056" s="52">
        <v>44</v>
      </c>
    </row>
    <row r="1057" spans="1:4">
      <c r="A1057" s="53">
        <f t="shared" si="328"/>
        <v>1056</v>
      </c>
      <c r="B1057" s="54">
        <v>45931</v>
      </c>
      <c r="C1057" s="55" t="s">
        <v>23</v>
      </c>
      <c r="D1057" s="56">
        <v>137</v>
      </c>
    </row>
    <row r="1058" spans="1:4">
      <c r="A1058" s="50">
        <f t="shared" ref="A1058:A1060" si="329">IF(B1058="","",ROW(A1057))</f>
        <v>1057</v>
      </c>
      <c r="B1058" s="51">
        <v>45932</v>
      </c>
      <c r="C1058" s="1" t="s">
        <v>45</v>
      </c>
      <c r="D1058" s="52">
        <v>20</v>
      </c>
    </row>
    <row r="1059" spans="1:4">
      <c r="A1059" s="50">
        <f t="shared" si="329"/>
        <v>1058</v>
      </c>
      <c r="B1059" s="51">
        <v>45932</v>
      </c>
      <c r="C1059" s="1" t="s">
        <v>23</v>
      </c>
      <c r="D1059" s="52">
        <v>137</v>
      </c>
    </row>
    <row r="1060" spans="1:4">
      <c r="A1060" s="53">
        <f t="shared" si="329"/>
        <v>1059</v>
      </c>
      <c r="B1060" s="54">
        <v>45932</v>
      </c>
      <c r="C1060" s="55" t="s">
        <v>26</v>
      </c>
      <c r="D1060" s="56">
        <v>44</v>
      </c>
    </row>
    <row r="1061" spans="1:4">
      <c r="A1061" s="50">
        <f t="shared" ref="A1061:A1063" si="330">IF(B1061="","",ROW(A1060))</f>
        <v>1060</v>
      </c>
      <c r="B1061" s="51">
        <v>45933</v>
      </c>
      <c r="C1061" s="1" t="s">
        <v>45</v>
      </c>
      <c r="D1061" s="52">
        <v>20</v>
      </c>
    </row>
    <row r="1062" spans="1:4">
      <c r="A1062" s="50">
        <f t="shared" si="330"/>
        <v>1061</v>
      </c>
      <c r="B1062" s="51">
        <v>45933</v>
      </c>
      <c r="C1062" s="1" t="s">
        <v>23</v>
      </c>
      <c r="D1062" s="52">
        <v>137</v>
      </c>
    </row>
    <row r="1063" spans="1:4">
      <c r="A1063" s="53">
        <f t="shared" si="330"/>
        <v>1062</v>
      </c>
      <c r="B1063" s="54">
        <v>45933</v>
      </c>
      <c r="C1063" s="55" t="s">
        <v>26</v>
      </c>
      <c r="D1063" s="56">
        <v>44</v>
      </c>
    </row>
    <row r="1064" spans="1:4">
      <c r="A1064" s="50">
        <f t="shared" ref="A1064:A1066" si="331">IF(B1064="","",ROW(A1063))</f>
        <v>1063</v>
      </c>
      <c r="B1064" s="51">
        <v>45934</v>
      </c>
      <c r="C1064" s="1" t="s">
        <v>26</v>
      </c>
      <c r="D1064" s="52">
        <v>44</v>
      </c>
    </row>
    <row r="1065" spans="1:4">
      <c r="A1065" s="50">
        <f t="shared" si="331"/>
        <v>1064</v>
      </c>
      <c r="B1065" s="51">
        <v>45934</v>
      </c>
      <c r="C1065" s="1" t="s">
        <v>45</v>
      </c>
      <c r="D1065" s="52">
        <v>20</v>
      </c>
    </row>
    <row r="1066" spans="1:4">
      <c r="A1066" s="53">
        <f t="shared" si="331"/>
        <v>1065</v>
      </c>
      <c r="B1066" s="54">
        <v>45934</v>
      </c>
      <c r="C1066" s="55" t="s">
        <v>23</v>
      </c>
      <c r="D1066" s="56">
        <v>137</v>
      </c>
    </row>
    <row r="1067" spans="1:4">
      <c r="A1067" s="50">
        <f t="shared" ref="A1067:A1069" si="332">IF(B1067="","",ROW(A1066))</f>
        <v>1066</v>
      </c>
      <c r="B1067" s="51">
        <v>45935</v>
      </c>
      <c r="C1067" s="1" t="s">
        <v>23</v>
      </c>
      <c r="D1067" s="52">
        <v>137</v>
      </c>
    </row>
    <row r="1068" spans="1:4">
      <c r="A1068" s="50">
        <f t="shared" si="332"/>
        <v>1067</v>
      </c>
      <c r="B1068" s="51">
        <v>45935</v>
      </c>
      <c r="C1068" s="1" t="s">
        <v>45</v>
      </c>
      <c r="D1068" s="52">
        <v>20</v>
      </c>
    </row>
    <row r="1069" spans="1:4">
      <c r="A1069" s="53">
        <f t="shared" si="332"/>
        <v>1068</v>
      </c>
      <c r="B1069" s="54">
        <v>45935</v>
      </c>
      <c r="C1069" s="55" t="s">
        <v>26</v>
      </c>
      <c r="D1069" s="56">
        <v>44</v>
      </c>
    </row>
    <row r="1070" spans="1:4">
      <c r="A1070" s="50">
        <f t="shared" ref="A1070:A1072" si="333">IF(B1070="","",ROW(A1069))</f>
        <v>1069</v>
      </c>
      <c r="B1070" s="51">
        <v>45936</v>
      </c>
      <c r="C1070" s="1" t="s">
        <v>45</v>
      </c>
      <c r="D1070" s="52">
        <v>20</v>
      </c>
    </row>
    <row r="1071" spans="1:4">
      <c r="A1071" s="50">
        <f t="shared" si="333"/>
        <v>1070</v>
      </c>
      <c r="B1071" s="51">
        <v>45936</v>
      </c>
      <c r="C1071" s="1" t="s">
        <v>26</v>
      </c>
      <c r="D1071" s="52">
        <v>44</v>
      </c>
    </row>
    <row r="1072" spans="1:4">
      <c r="A1072" s="53">
        <f t="shared" si="333"/>
        <v>1071</v>
      </c>
      <c r="B1072" s="54">
        <v>45936</v>
      </c>
      <c r="C1072" s="55" t="s">
        <v>23</v>
      </c>
      <c r="D1072" s="56">
        <v>137</v>
      </c>
    </row>
    <row r="1073" spans="1:4">
      <c r="A1073" s="50">
        <f t="shared" ref="A1073:A1075" si="334">IF(B1073="","",ROW(A1072))</f>
        <v>1072</v>
      </c>
      <c r="B1073" s="51">
        <v>45937</v>
      </c>
      <c r="C1073" s="1" t="s">
        <v>45</v>
      </c>
      <c r="D1073" s="52">
        <v>20</v>
      </c>
    </row>
    <row r="1074" spans="1:4">
      <c r="A1074" s="50">
        <f t="shared" si="334"/>
        <v>1073</v>
      </c>
      <c r="B1074" s="51">
        <v>45937</v>
      </c>
      <c r="C1074" s="1" t="s">
        <v>26</v>
      </c>
      <c r="D1074" s="52">
        <v>44</v>
      </c>
    </row>
    <row r="1075" spans="1:4">
      <c r="A1075" s="53">
        <f t="shared" si="334"/>
        <v>1074</v>
      </c>
      <c r="B1075" s="54">
        <v>45937</v>
      </c>
      <c r="C1075" s="55" t="s">
        <v>23</v>
      </c>
      <c r="D1075" s="56">
        <v>137</v>
      </c>
    </row>
    <row r="1076" spans="1:4">
      <c r="A1076" s="50">
        <f t="shared" ref="A1076:A1078" si="335">IF(B1076="","",ROW(A1075))</f>
        <v>1075</v>
      </c>
      <c r="B1076" s="51">
        <v>45938</v>
      </c>
      <c r="C1076" s="1" t="s">
        <v>23</v>
      </c>
      <c r="D1076" s="52">
        <v>137</v>
      </c>
    </row>
    <row r="1077" spans="1:4">
      <c r="A1077" s="50">
        <f t="shared" si="335"/>
        <v>1076</v>
      </c>
      <c r="B1077" s="51">
        <v>45938</v>
      </c>
      <c r="C1077" s="1" t="s">
        <v>45</v>
      </c>
      <c r="D1077" s="52">
        <v>20</v>
      </c>
    </row>
    <row r="1078" spans="1:4">
      <c r="A1078" s="53">
        <f t="shared" si="335"/>
        <v>1077</v>
      </c>
      <c r="B1078" s="54">
        <v>45938</v>
      </c>
      <c r="C1078" s="55" t="s">
        <v>26</v>
      </c>
      <c r="D1078" s="56">
        <v>44</v>
      </c>
    </row>
    <row r="1079" spans="1:4">
      <c r="A1079" s="50">
        <f t="shared" ref="A1079:A1081" si="336">IF(B1079="","",ROW(A1078))</f>
        <v>1078</v>
      </c>
      <c r="B1079" s="51">
        <v>45939</v>
      </c>
      <c r="C1079" s="1" t="s">
        <v>45</v>
      </c>
      <c r="D1079" s="52">
        <v>20</v>
      </c>
    </row>
    <row r="1080" spans="1:4">
      <c r="A1080" s="50">
        <f t="shared" si="336"/>
        <v>1079</v>
      </c>
      <c r="B1080" s="51">
        <v>45939</v>
      </c>
      <c r="C1080" s="1" t="s">
        <v>23</v>
      </c>
      <c r="D1080" s="52">
        <v>137</v>
      </c>
    </row>
    <row r="1081" spans="1:4">
      <c r="A1081" s="53">
        <f t="shared" si="336"/>
        <v>1080</v>
      </c>
      <c r="B1081" s="54">
        <v>45939</v>
      </c>
      <c r="C1081" s="55" t="s">
        <v>26</v>
      </c>
      <c r="D1081" s="56">
        <v>44</v>
      </c>
    </row>
    <row r="1082" spans="1:4">
      <c r="A1082" s="50">
        <f t="shared" ref="A1082:A1084" si="337">IF(B1082="","",ROW(A1081))</f>
        <v>1081</v>
      </c>
      <c r="B1082" s="51">
        <v>45940</v>
      </c>
      <c r="C1082" s="1" t="s">
        <v>45</v>
      </c>
      <c r="D1082" s="52">
        <v>20</v>
      </c>
    </row>
    <row r="1083" spans="1:4">
      <c r="A1083" s="50">
        <f t="shared" si="337"/>
        <v>1082</v>
      </c>
      <c r="B1083" s="51">
        <v>45940</v>
      </c>
      <c r="C1083" s="1" t="s">
        <v>26</v>
      </c>
      <c r="D1083" s="52">
        <v>44</v>
      </c>
    </row>
    <row r="1084" spans="1:4">
      <c r="A1084" s="53">
        <f t="shared" si="337"/>
        <v>1083</v>
      </c>
      <c r="B1084" s="54">
        <v>45940</v>
      </c>
      <c r="C1084" s="55" t="s">
        <v>23</v>
      </c>
      <c r="D1084" s="56">
        <v>137</v>
      </c>
    </row>
    <row r="1085" spans="1:4">
      <c r="A1085" s="50">
        <f t="shared" ref="A1085:A1087" si="338">IF(B1085="","",ROW(A1084))</f>
        <v>1084</v>
      </c>
      <c r="B1085" s="51">
        <v>45941</v>
      </c>
      <c r="C1085" s="1" t="s">
        <v>26</v>
      </c>
      <c r="D1085" s="52">
        <v>44</v>
      </c>
    </row>
    <row r="1086" spans="1:4">
      <c r="A1086" s="50">
        <f t="shared" si="338"/>
        <v>1085</v>
      </c>
      <c r="B1086" s="51">
        <v>45941</v>
      </c>
      <c r="C1086" s="1" t="s">
        <v>45</v>
      </c>
      <c r="D1086" s="52">
        <v>20</v>
      </c>
    </row>
    <row r="1087" spans="1:4">
      <c r="A1087" s="53">
        <f t="shared" si="338"/>
        <v>1086</v>
      </c>
      <c r="B1087" s="54">
        <v>45941</v>
      </c>
      <c r="C1087" s="55" t="s">
        <v>23</v>
      </c>
      <c r="D1087" s="56">
        <v>137</v>
      </c>
    </row>
    <row r="1088" spans="1:4">
      <c r="A1088" s="50">
        <f t="shared" ref="A1088:A1090" si="339">IF(B1088="","",ROW(A1087))</f>
        <v>1087</v>
      </c>
      <c r="B1088" s="51">
        <v>45942</v>
      </c>
      <c r="C1088" s="1" t="s">
        <v>26</v>
      </c>
      <c r="D1088" s="52">
        <v>44</v>
      </c>
    </row>
    <row r="1089" spans="1:4">
      <c r="A1089" s="50">
        <f t="shared" si="339"/>
        <v>1088</v>
      </c>
      <c r="B1089" s="51">
        <v>45942</v>
      </c>
      <c r="C1089" s="1" t="s">
        <v>23</v>
      </c>
      <c r="D1089" s="52">
        <v>137</v>
      </c>
    </row>
    <row r="1090" spans="1:4">
      <c r="A1090" s="53">
        <f t="shared" si="339"/>
        <v>1089</v>
      </c>
      <c r="B1090" s="54">
        <v>45942</v>
      </c>
      <c r="C1090" s="55" t="s">
        <v>45</v>
      </c>
      <c r="D1090" s="56">
        <v>20</v>
      </c>
    </row>
    <row r="1091" spans="1:4">
      <c r="A1091" s="50">
        <f t="shared" ref="A1091:A1093" si="340">IF(B1091="","",ROW(A1090))</f>
        <v>1090</v>
      </c>
      <c r="B1091" s="51">
        <v>45943</v>
      </c>
      <c r="C1091" s="1" t="s">
        <v>45</v>
      </c>
      <c r="D1091" s="52">
        <v>20</v>
      </c>
    </row>
    <row r="1092" spans="1:4">
      <c r="A1092" s="50">
        <f t="shared" si="340"/>
        <v>1091</v>
      </c>
      <c r="B1092" s="51">
        <v>45943</v>
      </c>
      <c r="C1092" s="1" t="s">
        <v>23</v>
      </c>
      <c r="D1092" s="52">
        <v>137</v>
      </c>
    </row>
    <row r="1093" spans="1:4">
      <c r="A1093" s="53">
        <f t="shared" si="340"/>
        <v>1092</v>
      </c>
      <c r="B1093" s="54">
        <v>45943</v>
      </c>
      <c r="C1093" s="55" t="s">
        <v>26</v>
      </c>
      <c r="D1093" s="56">
        <v>44</v>
      </c>
    </row>
    <row r="1094" spans="1:4">
      <c r="A1094" s="50">
        <f t="shared" ref="A1094:A1096" si="341">IF(B1094="","",ROW(A1093))</f>
        <v>1093</v>
      </c>
      <c r="B1094" s="51">
        <v>45944</v>
      </c>
      <c r="C1094" s="1" t="s">
        <v>26</v>
      </c>
      <c r="D1094" s="52">
        <v>44</v>
      </c>
    </row>
    <row r="1095" spans="1:4">
      <c r="A1095" s="50">
        <f t="shared" si="341"/>
        <v>1094</v>
      </c>
      <c r="B1095" s="51">
        <v>45944</v>
      </c>
      <c r="C1095" s="1" t="s">
        <v>45</v>
      </c>
      <c r="D1095" s="52">
        <v>20</v>
      </c>
    </row>
    <row r="1096" spans="1:4">
      <c r="A1096" s="53">
        <f t="shared" si="341"/>
        <v>1095</v>
      </c>
      <c r="B1096" s="54">
        <v>45944</v>
      </c>
      <c r="C1096" s="55" t="s">
        <v>23</v>
      </c>
      <c r="D1096" s="56">
        <v>137</v>
      </c>
    </row>
    <row r="1097" spans="1:4">
      <c r="A1097" s="50">
        <f t="shared" ref="A1097:A1099" si="342">IF(B1097="","",ROW(A1096))</f>
        <v>1096</v>
      </c>
      <c r="B1097" s="51">
        <v>45945</v>
      </c>
      <c r="C1097" s="1" t="s">
        <v>26</v>
      </c>
      <c r="D1097" s="52">
        <v>44</v>
      </c>
    </row>
    <row r="1098" spans="1:4">
      <c r="A1098" s="50">
        <f t="shared" si="342"/>
        <v>1097</v>
      </c>
      <c r="B1098" s="51">
        <v>45945</v>
      </c>
      <c r="C1098" s="1" t="s">
        <v>45</v>
      </c>
      <c r="D1098" s="52">
        <v>20</v>
      </c>
    </row>
    <row r="1099" spans="1:4">
      <c r="A1099" s="53">
        <f t="shared" si="342"/>
        <v>1098</v>
      </c>
      <c r="B1099" s="54">
        <v>45945</v>
      </c>
      <c r="C1099" s="55" t="s">
        <v>23</v>
      </c>
      <c r="D1099" s="56">
        <v>137</v>
      </c>
    </row>
    <row r="1100" spans="1:4">
      <c r="A1100" s="50">
        <f t="shared" ref="A1100:A1102" si="343">IF(B1100="","",ROW(A1099))</f>
        <v>1099</v>
      </c>
      <c r="B1100" s="51">
        <v>45946</v>
      </c>
      <c r="C1100" s="1" t="s">
        <v>26</v>
      </c>
      <c r="D1100" s="52">
        <v>44</v>
      </c>
    </row>
    <row r="1101" spans="1:4">
      <c r="A1101" s="50">
        <f t="shared" si="343"/>
        <v>1100</v>
      </c>
      <c r="B1101" s="51">
        <v>45946</v>
      </c>
      <c r="C1101" s="1" t="s">
        <v>23</v>
      </c>
      <c r="D1101" s="52">
        <v>137</v>
      </c>
    </row>
    <row r="1102" spans="1:4">
      <c r="A1102" s="53">
        <f t="shared" si="343"/>
        <v>1101</v>
      </c>
      <c r="B1102" s="54">
        <v>45946</v>
      </c>
      <c r="C1102" s="55" t="s">
        <v>45</v>
      </c>
      <c r="D1102" s="56">
        <v>20</v>
      </c>
    </row>
    <row r="1103" spans="1:4">
      <c r="A1103" s="50">
        <f t="shared" ref="A1103:A1105" si="344">IF(B1103="","",ROW(A1102))</f>
        <v>1102</v>
      </c>
      <c r="B1103" s="51">
        <v>45947</v>
      </c>
      <c r="C1103" s="1" t="s">
        <v>45</v>
      </c>
      <c r="D1103" s="52">
        <v>20</v>
      </c>
    </row>
    <row r="1104" spans="1:4">
      <c r="A1104" s="50">
        <f t="shared" si="344"/>
        <v>1103</v>
      </c>
      <c r="B1104" s="51">
        <v>45947</v>
      </c>
      <c r="C1104" s="1" t="s">
        <v>23</v>
      </c>
      <c r="D1104" s="52">
        <v>137</v>
      </c>
    </row>
    <row r="1105" spans="1:4">
      <c r="A1105" s="53">
        <f t="shared" si="344"/>
        <v>1104</v>
      </c>
      <c r="B1105" s="54">
        <v>45947</v>
      </c>
      <c r="C1105" s="55" t="s">
        <v>26</v>
      </c>
      <c r="D1105" s="56">
        <v>44</v>
      </c>
    </row>
    <row r="1106" spans="1:4">
      <c r="A1106" s="50">
        <f t="shared" ref="A1106:A1108" si="345">IF(B1106="","",ROW(A1105))</f>
        <v>1105</v>
      </c>
      <c r="B1106" s="51">
        <v>45948</v>
      </c>
      <c r="C1106" s="1" t="s">
        <v>23</v>
      </c>
      <c r="D1106" s="52">
        <v>137</v>
      </c>
    </row>
    <row r="1107" spans="1:4">
      <c r="A1107" s="50">
        <f t="shared" si="345"/>
        <v>1106</v>
      </c>
      <c r="B1107" s="51">
        <v>45948</v>
      </c>
      <c r="C1107" s="1" t="s">
        <v>45</v>
      </c>
      <c r="D1107" s="52">
        <v>20</v>
      </c>
    </row>
    <row r="1108" spans="1:4">
      <c r="A1108" s="53">
        <f t="shared" si="345"/>
        <v>1107</v>
      </c>
      <c r="B1108" s="54">
        <v>45948</v>
      </c>
      <c r="C1108" s="55" t="s">
        <v>26</v>
      </c>
      <c r="D1108" s="56">
        <v>44</v>
      </c>
    </row>
    <row r="1109" spans="1:4">
      <c r="A1109" s="50">
        <f t="shared" ref="A1109:A1111" si="346">IF(B1109="","",ROW(A1108))</f>
        <v>1108</v>
      </c>
      <c r="B1109" s="51">
        <v>45949</v>
      </c>
      <c r="C1109" s="1" t="s">
        <v>45</v>
      </c>
      <c r="D1109" s="52">
        <v>20</v>
      </c>
    </row>
    <row r="1110" spans="1:4">
      <c r="A1110" s="50">
        <f t="shared" si="346"/>
        <v>1109</v>
      </c>
      <c r="B1110" s="51">
        <v>45949</v>
      </c>
      <c r="C1110" s="1" t="s">
        <v>26</v>
      </c>
      <c r="D1110" s="52">
        <v>44</v>
      </c>
    </row>
    <row r="1111" spans="1:4">
      <c r="A1111" s="53">
        <f t="shared" si="346"/>
        <v>1110</v>
      </c>
      <c r="B1111" s="54">
        <v>45949</v>
      </c>
      <c r="C1111" s="55" t="s">
        <v>23</v>
      </c>
      <c r="D1111" s="56">
        <v>137</v>
      </c>
    </row>
    <row r="1112" spans="1:4">
      <c r="A1112" s="50">
        <f t="shared" ref="A1112:A1114" si="347">IF(B1112="","",ROW(A1111))</f>
        <v>1111</v>
      </c>
      <c r="B1112" s="51">
        <v>45950</v>
      </c>
      <c r="C1112" s="1" t="s">
        <v>23</v>
      </c>
      <c r="D1112" s="52">
        <v>137</v>
      </c>
    </row>
    <row r="1113" spans="1:4">
      <c r="A1113" s="50">
        <f t="shared" si="347"/>
        <v>1112</v>
      </c>
      <c r="B1113" s="51">
        <v>45950</v>
      </c>
      <c r="C1113" s="1" t="s">
        <v>45</v>
      </c>
      <c r="D1113" s="52">
        <v>20</v>
      </c>
    </row>
    <row r="1114" spans="1:4">
      <c r="A1114" s="53">
        <f t="shared" si="347"/>
        <v>1113</v>
      </c>
      <c r="B1114" s="54">
        <v>45950</v>
      </c>
      <c r="C1114" s="55" t="s">
        <v>26</v>
      </c>
      <c r="D1114" s="56">
        <v>44</v>
      </c>
    </row>
    <row r="1115" spans="1:4">
      <c r="A1115" s="50">
        <f t="shared" ref="A1115:A1117" si="348">IF(B1115="","",ROW(A1114))</f>
        <v>1114</v>
      </c>
      <c r="B1115" s="51">
        <v>45951</v>
      </c>
      <c r="C1115" s="1" t="s">
        <v>26</v>
      </c>
      <c r="D1115" s="52">
        <v>44</v>
      </c>
    </row>
    <row r="1116" spans="1:4">
      <c r="A1116" s="50">
        <f t="shared" si="348"/>
        <v>1115</v>
      </c>
      <c r="B1116" s="51">
        <v>45951</v>
      </c>
      <c r="C1116" s="1" t="s">
        <v>45</v>
      </c>
      <c r="D1116" s="52">
        <v>20</v>
      </c>
    </row>
    <row r="1117" spans="1:4">
      <c r="A1117" s="53">
        <f t="shared" si="348"/>
        <v>1116</v>
      </c>
      <c r="B1117" s="54">
        <v>45951</v>
      </c>
      <c r="C1117" s="55" t="s">
        <v>23</v>
      </c>
      <c r="D1117" s="56">
        <v>137</v>
      </c>
    </row>
    <row r="1118" spans="1:4">
      <c r="A1118" s="50">
        <f t="shared" ref="A1118:A1120" si="349">IF(B1118="","",ROW(A1117))</f>
        <v>1117</v>
      </c>
      <c r="B1118" s="51">
        <v>45952</v>
      </c>
      <c r="C1118" s="1" t="s">
        <v>45</v>
      </c>
      <c r="D1118" s="52">
        <v>20</v>
      </c>
    </row>
    <row r="1119" spans="1:4">
      <c r="A1119" s="50">
        <f t="shared" si="349"/>
        <v>1118</v>
      </c>
      <c r="B1119" s="51">
        <v>45952</v>
      </c>
      <c r="C1119" s="1" t="s">
        <v>23</v>
      </c>
      <c r="D1119" s="52">
        <v>137</v>
      </c>
    </row>
    <row r="1120" spans="1:4">
      <c r="A1120" s="53">
        <f t="shared" si="349"/>
        <v>1119</v>
      </c>
      <c r="B1120" s="54">
        <v>45952</v>
      </c>
      <c r="C1120" s="55" t="s">
        <v>26</v>
      </c>
      <c r="D1120" s="56">
        <v>44</v>
      </c>
    </row>
    <row r="1121" spans="1:4">
      <c r="A1121" s="50">
        <f t="shared" ref="A1121:A1123" si="350">IF(B1121="","",ROW(A1120))</f>
        <v>1120</v>
      </c>
      <c r="B1121" s="51">
        <v>45953</v>
      </c>
      <c r="C1121" s="1" t="s">
        <v>26</v>
      </c>
      <c r="D1121" s="52">
        <v>44</v>
      </c>
    </row>
    <row r="1122" spans="1:4">
      <c r="A1122" s="50">
        <f t="shared" si="350"/>
        <v>1121</v>
      </c>
      <c r="B1122" s="51">
        <v>45953</v>
      </c>
      <c r="C1122" s="1" t="s">
        <v>23</v>
      </c>
      <c r="D1122" s="52">
        <v>137</v>
      </c>
    </row>
    <row r="1123" spans="1:4">
      <c r="A1123" s="53">
        <f t="shared" si="350"/>
        <v>1122</v>
      </c>
      <c r="B1123" s="54">
        <v>45953</v>
      </c>
      <c r="C1123" s="55" t="s">
        <v>45</v>
      </c>
      <c r="D1123" s="56">
        <v>20</v>
      </c>
    </row>
    <row r="1124" spans="1:4">
      <c r="A1124" s="50">
        <f t="shared" ref="A1124:A1126" si="351">IF(B1124="","",ROW(A1123))</f>
        <v>1123</v>
      </c>
      <c r="B1124" s="51">
        <v>45954</v>
      </c>
      <c r="C1124" s="1" t="s">
        <v>26</v>
      </c>
      <c r="D1124" s="52">
        <v>44</v>
      </c>
    </row>
    <row r="1125" spans="1:4">
      <c r="A1125" s="50">
        <f t="shared" si="351"/>
        <v>1124</v>
      </c>
      <c r="B1125" s="51">
        <v>45954</v>
      </c>
      <c r="C1125" s="1" t="s">
        <v>23</v>
      </c>
      <c r="D1125" s="52">
        <v>137</v>
      </c>
    </row>
    <row r="1126" spans="1:4">
      <c r="A1126" s="53">
        <f t="shared" si="351"/>
        <v>1125</v>
      </c>
      <c r="B1126" s="54">
        <v>45954</v>
      </c>
      <c r="C1126" s="55" t="s">
        <v>45</v>
      </c>
      <c r="D1126" s="56">
        <v>20</v>
      </c>
    </row>
    <row r="1127" spans="1:4">
      <c r="A1127" s="50">
        <f t="shared" ref="A1127:A1129" si="352">IF(B1127="","",ROW(A1126))</f>
        <v>1126</v>
      </c>
      <c r="B1127" s="51">
        <v>45955</v>
      </c>
      <c r="C1127" s="1" t="s">
        <v>45</v>
      </c>
      <c r="D1127" s="52">
        <v>20</v>
      </c>
    </row>
    <row r="1128" spans="1:4">
      <c r="A1128" s="50">
        <f t="shared" si="352"/>
        <v>1127</v>
      </c>
      <c r="B1128" s="51">
        <v>45955</v>
      </c>
      <c r="C1128" s="1" t="s">
        <v>26</v>
      </c>
      <c r="D1128" s="52">
        <v>44</v>
      </c>
    </row>
    <row r="1129" spans="1:4">
      <c r="A1129" s="53">
        <f t="shared" si="352"/>
        <v>1128</v>
      </c>
      <c r="B1129" s="54">
        <v>45955</v>
      </c>
      <c r="C1129" s="55" t="s">
        <v>23</v>
      </c>
      <c r="D1129" s="56">
        <v>137</v>
      </c>
    </row>
    <row r="1130" spans="1:4">
      <c r="A1130" s="50">
        <f t="shared" ref="A1130:A1132" si="353">IF(B1130="","",ROW(A1129))</f>
        <v>1129</v>
      </c>
      <c r="B1130" s="51">
        <v>45956</v>
      </c>
      <c r="C1130" s="1" t="s">
        <v>45</v>
      </c>
      <c r="D1130" s="52">
        <v>20</v>
      </c>
    </row>
    <row r="1131" spans="1:4">
      <c r="A1131" s="50">
        <f t="shared" si="353"/>
        <v>1130</v>
      </c>
      <c r="B1131" s="51">
        <v>45956</v>
      </c>
      <c r="C1131" s="1" t="s">
        <v>26</v>
      </c>
      <c r="D1131" s="52">
        <v>44</v>
      </c>
    </row>
    <row r="1132" spans="1:4">
      <c r="A1132" s="53">
        <f t="shared" si="353"/>
        <v>1131</v>
      </c>
      <c r="B1132" s="54">
        <v>45956</v>
      </c>
      <c r="C1132" s="55" t="s">
        <v>23</v>
      </c>
      <c r="D1132" s="56">
        <v>137</v>
      </c>
    </row>
    <row r="1133" spans="1:4">
      <c r="A1133" s="50">
        <f t="shared" ref="A1133:A1135" si="354">IF(B1133="","",ROW(A1132))</f>
        <v>1132</v>
      </c>
      <c r="B1133" s="51">
        <v>45957</v>
      </c>
      <c r="C1133" s="1" t="s">
        <v>45</v>
      </c>
      <c r="D1133" s="52">
        <v>20</v>
      </c>
    </row>
    <row r="1134" spans="1:4">
      <c r="A1134" s="50">
        <f t="shared" si="354"/>
        <v>1133</v>
      </c>
      <c r="B1134" s="51">
        <v>45957</v>
      </c>
      <c r="C1134" s="1" t="s">
        <v>23</v>
      </c>
      <c r="D1134" s="52">
        <v>137</v>
      </c>
    </row>
    <row r="1135" spans="1:4">
      <c r="A1135" s="53">
        <f t="shared" si="354"/>
        <v>1134</v>
      </c>
      <c r="B1135" s="54">
        <v>45957</v>
      </c>
      <c r="C1135" s="55" t="s">
        <v>26</v>
      </c>
      <c r="D1135" s="56">
        <v>44</v>
      </c>
    </row>
    <row r="1136" spans="1:4">
      <c r="A1136" s="50">
        <f t="shared" ref="A1136:A1138" si="355">IF(B1136="","",ROW(A1135))</f>
        <v>1135</v>
      </c>
      <c r="B1136" s="51">
        <v>45958</v>
      </c>
      <c r="C1136" s="1" t="s">
        <v>45</v>
      </c>
      <c r="D1136" s="52">
        <v>20</v>
      </c>
    </row>
    <row r="1137" spans="1:4">
      <c r="A1137" s="50">
        <f t="shared" si="355"/>
        <v>1136</v>
      </c>
      <c r="B1137" s="51">
        <v>45958</v>
      </c>
      <c r="C1137" s="1" t="s">
        <v>26</v>
      </c>
      <c r="D1137" s="52">
        <v>44</v>
      </c>
    </row>
    <row r="1138" spans="1:4">
      <c r="A1138" s="53">
        <f t="shared" si="355"/>
        <v>1137</v>
      </c>
      <c r="B1138" s="54">
        <v>45958</v>
      </c>
      <c r="C1138" s="55" t="s">
        <v>23</v>
      </c>
      <c r="D1138" s="56">
        <v>137</v>
      </c>
    </row>
    <row r="1139" spans="1:4">
      <c r="A1139" s="50">
        <f t="shared" ref="A1139:A1141" si="356">IF(B1139="","",ROW(A1138))</f>
        <v>1138</v>
      </c>
      <c r="B1139" s="51">
        <v>45959</v>
      </c>
      <c r="C1139" s="1" t="s">
        <v>45</v>
      </c>
      <c r="D1139" s="52">
        <v>20</v>
      </c>
    </row>
    <row r="1140" spans="1:4">
      <c r="A1140" s="50">
        <f t="shared" si="356"/>
        <v>1139</v>
      </c>
      <c r="B1140" s="51">
        <v>45959</v>
      </c>
      <c r="C1140" s="1" t="s">
        <v>23</v>
      </c>
      <c r="D1140" s="52">
        <v>137</v>
      </c>
    </row>
    <row r="1141" spans="1:4">
      <c r="A1141" s="53">
        <f t="shared" si="356"/>
        <v>1140</v>
      </c>
      <c r="B1141" s="54">
        <v>45959</v>
      </c>
      <c r="C1141" s="55" t="s">
        <v>26</v>
      </c>
      <c r="D1141" s="56">
        <v>44</v>
      </c>
    </row>
    <row r="1142" spans="1:4">
      <c r="A1142" s="50">
        <f t="shared" ref="A1142:A1144" si="357">IF(B1142="","",ROW(A1141))</f>
        <v>1141</v>
      </c>
      <c r="B1142" s="51">
        <v>45960</v>
      </c>
      <c r="C1142" s="1" t="s">
        <v>45</v>
      </c>
      <c r="D1142" s="52">
        <v>20</v>
      </c>
    </row>
    <row r="1143" spans="1:4">
      <c r="A1143" s="50">
        <f t="shared" si="357"/>
        <v>1142</v>
      </c>
      <c r="B1143" s="51">
        <v>45960</v>
      </c>
      <c r="C1143" s="1" t="s">
        <v>26</v>
      </c>
      <c r="D1143" s="52">
        <v>44</v>
      </c>
    </row>
    <row r="1144" spans="1:4">
      <c r="A1144" s="53">
        <f t="shared" si="357"/>
        <v>1143</v>
      </c>
      <c r="B1144" s="54">
        <v>45960</v>
      </c>
      <c r="C1144" s="55" t="s">
        <v>23</v>
      </c>
      <c r="D1144" s="56">
        <v>137</v>
      </c>
    </row>
    <row r="1145" spans="1:4">
      <c r="A1145" s="50">
        <f t="shared" ref="A1145:A1147" si="358">IF(B1145="","",ROW(A1144))</f>
        <v>1144</v>
      </c>
      <c r="B1145" s="51">
        <v>45961</v>
      </c>
      <c r="C1145" s="1" t="s">
        <v>23</v>
      </c>
      <c r="D1145" s="52">
        <v>137</v>
      </c>
    </row>
    <row r="1146" spans="1:4">
      <c r="A1146" s="50">
        <f t="shared" si="358"/>
        <v>1145</v>
      </c>
      <c r="B1146" s="51">
        <v>45961</v>
      </c>
      <c r="C1146" s="1" t="s">
        <v>26</v>
      </c>
      <c r="D1146" s="52">
        <v>44</v>
      </c>
    </row>
    <row r="1147" spans="1:4">
      <c r="A1147" s="53">
        <f t="shared" si="358"/>
        <v>1146</v>
      </c>
      <c r="B1147" s="54">
        <v>45961</v>
      </c>
      <c r="C1147" s="55" t="s">
        <v>45</v>
      </c>
      <c r="D1147" s="56">
        <v>20</v>
      </c>
    </row>
    <row r="1148" spans="1:4">
      <c r="A1148" s="50">
        <f t="shared" ref="A1148:A1150" si="359">IF(B1148="","",ROW(A1147))</f>
        <v>1147</v>
      </c>
      <c r="B1148" s="51">
        <v>45962</v>
      </c>
      <c r="C1148" s="1" t="s">
        <v>45</v>
      </c>
      <c r="D1148" s="52">
        <v>20</v>
      </c>
    </row>
    <row r="1149" spans="1:4">
      <c r="A1149" s="50">
        <f t="shared" si="359"/>
        <v>1148</v>
      </c>
      <c r="B1149" s="51">
        <v>45962</v>
      </c>
      <c r="C1149" s="1" t="s">
        <v>23</v>
      </c>
      <c r="D1149" s="52">
        <v>137</v>
      </c>
    </row>
    <row r="1150" spans="1:4">
      <c r="A1150" s="53">
        <f t="shared" si="359"/>
        <v>1149</v>
      </c>
      <c r="B1150" s="54">
        <v>45962</v>
      </c>
      <c r="C1150" s="55" t="s">
        <v>26</v>
      </c>
      <c r="D1150" s="56">
        <v>44</v>
      </c>
    </row>
    <row r="1151" spans="1:4">
      <c r="A1151" s="50">
        <f t="shared" ref="A1151:A1153" si="360">IF(B1151="","",ROW(A1150))</f>
        <v>1150</v>
      </c>
      <c r="B1151" s="51">
        <v>45963</v>
      </c>
      <c r="C1151" s="1" t="s">
        <v>45</v>
      </c>
      <c r="D1151" s="52">
        <v>20</v>
      </c>
    </row>
    <row r="1152" spans="1:4">
      <c r="A1152" s="50">
        <f t="shared" si="360"/>
        <v>1151</v>
      </c>
      <c r="B1152" s="51">
        <v>45963</v>
      </c>
      <c r="C1152" s="1" t="s">
        <v>23</v>
      </c>
      <c r="D1152" s="52">
        <v>137</v>
      </c>
    </row>
    <row r="1153" spans="1:4">
      <c r="A1153" s="53">
        <f t="shared" si="360"/>
        <v>1152</v>
      </c>
      <c r="B1153" s="54">
        <v>45963</v>
      </c>
      <c r="C1153" s="55" t="s">
        <v>26</v>
      </c>
      <c r="D1153" s="56">
        <v>44</v>
      </c>
    </row>
    <row r="1154" spans="1:4">
      <c r="A1154" s="174">
        <f t="shared" ref="A1154:A1156" si="361">IF(B1154="","",ROW(A1153))</f>
        <v>1153</v>
      </c>
      <c r="B1154" s="51">
        <v>45964</v>
      </c>
      <c r="C1154" s="1" t="s">
        <v>23</v>
      </c>
      <c r="D1154" s="52">
        <v>137</v>
      </c>
    </row>
    <row r="1155" spans="1:4">
      <c r="A1155" s="174">
        <f t="shared" si="361"/>
        <v>1154</v>
      </c>
      <c r="B1155" s="51">
        <v>45964</v>
      </c>
      <c r="C1155" s="1" t="s">
        <v>26</v>
      </c>
      <c r="D1155" s="52">
        <v>44</v>
      </c>
    </row>
    <row r="1156" spans="1:4">
      <c r="A1156" s="175">
        <f t="shared" si="361"/>
        <v>1155</v>
      </c>
      <c r="B1156" s="54">
        <v>45964</v>
      </c>
      <c r="C1156" s="55" t="s">
        <v>45</v>
      </c>
      <c r="D1156" s="56">
        <v>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FA9E5-958F-4483-9C18-E00DF0C32CDC}">
  <dimension ref="A1:F23"/>
  <sheetViews>
    <sheetView workbookViewId="0">
      <selection activeCell="B28" sqref="B28"/>
    </sheetView>
  </sheetViews>
  <sheetFormatPr defaultRowHeight="15"/>
  <cols>
    <col min="2" max="2" width="56.42578125" customWidth="1"/>
    <col min="3" max="3" width="10.28515625" bestFit="1" customWidth="1"/>
    <col min="4" max="4" width="20.28515625" customWidth="1"/>
    <col min="5" max="5" width="19.85546875" bestFit="1" customWidth="1"/>
    <col min="6" max="6" width="18.42578125" bestFit="1" customWidth="1"/>
  </cols>
  <sheetData>
    <row r="1" spans="1:6" ht="15.75">
      <c r="A1" s="122" t="s">
        <v>0</v>
      </c>
      <c r="B1" s="123" t="s">
        <v>371</v>
      </c>
      <c r="C1" s="122" t="s">
        <v>445</v>
      </c>
      <c r="D1" s="123" t="s">
        <v>38</v>
      </c>
      <c r="E1" s="122" t="s">
        <v>446</v>
      </c>
      <c r="F1" s="122" t="s">
        <v>447</v>
      </c>
    </row>
    <row r="2" spans="1:6" ht="15.75">
      <c r="A2" s="1" t="s">
        <v>122</v>
      </c>
      <c r="B2" s="7" t="s">
        <v>381</v>
      </c>
      <c r="C2" s="1" t="s">
        <v>448</v>
      </c>
      <c r="D2" s="1" t="s">
        <v>382</v>
      </c>
      <c r="E2" s="166" t="s">
        <v>449</v>
      </c>
      <c r="F2" s="1"/>
    </row>
    <row r="3" spans="1:6" ht="23.25" customHeight="1">
      <c r="A3" s="1" t="s">
        <v>139</v>
      </c>
      <c r="B3" s="8" t="s">
        <v>383</v>
      </c>
      <c r="C3" s="1" t="s">
        <v>448</v>
      </c>
      <c r="D3" s="1" t="s">
        <v>384</v>
      </c>
      <c r="E3" s="166" t="s">
        <v>450</v>
      </c>
      <c r="F3" s="1"/>
    </row>
    <row r="4" spans="1:6" ht="15.75">
      <c r="A4" s="1" t="s">
        <v>147</v>
      </c>
      <c r="B4" s="5" t="s">
        <v>385</v>
      </c>
      <c r="C4" s="1" t="s">
        <v>448</v>
      </c>
      <c r="D4" s="1" t="s">
        <v>386</v>
      </c>
      <c r="E4" s="166" t="s">
        <v>450</v>
      </c>
      <c r="F4" s="1"/>
    </row>
    <row r="5" spans="1:6" ht="15.75">
      <c r="A5" s="1" t="s">
        <v>161</v>
      </c>
      <c r="B5" s="9" t="s">
        <v>388</v>
      </c>
      <c r="C5" s="1" t="s">
        <v>448</v>
      </c>
      <c r="D5" s="1" t="s">
        <v>389</v>
      </c>
      <c r="E5" s="166" t="s">
        <v>451</v>
      </c>
      <c r="F5" s="1"/>
    </row>
    <row r="6" spans="1:6" ht="15.75">
      <c r="A6" s="1" t="s">
        <v>182</v>
      </c>
      <c r="B6" s="9" t="s">
        <v>390</v>
      </c>
      <c r="C6" s="1" t="s">
        <v>448</v>
      </c>
      <c r="D6" s="1" t="s">
        <v>384</v>
      </c>
      <c r="E6" s="166" t="s">
        <v>450</v>
      </c>
      <c r="F6" s="1"/>
    </row>
    <row r="7" spans="1:6" ht="15.75">
      <c r="A7" s="1" t="s">
        <v>202</v>
      </c>
      <c r="B7" s="9" t="s">
        <v>391</v>
      </c>
      <c r="C7" s="1" t="s">
        <v>452</v>
      </c>
      <c r="D7" s="1" t="s">
        <v>392</v>
      </c>
      <c r="E7" s="166" t="s">
        <v>453</v>
      </c>
      <c r="F7" s="1"/>
    </row>
    <row r="8" spans="1:6" ht="15.75">
      <c r="A8" s="1" t="s">
        <v>214</v>
      </c>
      <c r="B8" s="9" t="s">
        <v>393</v>
      </c>
      <c r="C8" s="1" t="s">
        <v>452</v>
      </c>
      <c r="D8" s="1" t="s">
        <v>394</v>
      </c>
      <c r="E8" s="166" t="s">
        <v>454</v>
      </c>
      <c r="F8" s="1"/>
    </row>
    <row r="9" spans="1:6">
      <c r="A9" s="1" t="s">
        <v>237</v>
      </c>
      <c r="B9" s="1" t="s">
        <v>395</v>
      </c>
      <c r="C9" s="1" t="s">
        <v>452</v>
      </c>
      <c r="D9" s="1" t="s">
        <v>396</v>
      </c>
      <c r="E9" s="166" t="s">
        <v>451</v>
      </c>
      <c r="F9" s="1"/>
    </row>
    <row r="10" spans="1:6">
      <c r="A10" s="1" t="s">
        <v>52</v>
      </c>
      <c r="B10" s="1" t="s">
        <v>397</v>
      </c>
      <c r="C10" s="1" t="s">
        <v>448</v>
      </c>
      <c r="D10" s="1" t="s">
        <v>398</v>
      </c>
      <c r="E10" s="166" t="s">
        <v>455</v>
      </c>
      <c r="F10" s="1"/>
    </row>
    <row r="11" spans="1:6">
      <c r="A11" s="1" t="s">
        <v>93</v>
      </c>
      <c r="B11" s="1" t="s">
        <v>403</v>
      </c>
      <c r="C11" s="1" t="s">
        <v>448</v>
      </c>
      <c r="D11" s="1" t="s">
        <v>396</v>
      </c>
      <c r="E11" s="166" t="s">
        <v>450</v>
      </c>
      <c r="F11" s="1"/>
    </row>
    <row r="12" spans="1:6">
      <c r="A12" s="1" t="s">
        <v>107</v>
      </c>
      <c r="B12" s="1" t="s">
        <v>404</v>
      </c>
      <c r="C12" s="1" t="s">
        <v>448</v>
      </c>
      <c r="D12" s="1" t="s">
        <v>405</v>
      </c>
      <c r="E12" s="166" t="s">
        <v>456</v>
      </c>
      <c r="F12" s="1"/>
    </row>
    <row r="13" spans="1:6">
      <c r="A13" s="1" t="s">
        <v>118</v>
      </c>
      <c r="B13" s="1" t="s">
        <v>408</v>
      </c>
      <c r="C13" s="1" t="s">
        <v>452</v>
      </c>
      <c r="D13" s="1" t="s">
        <v>394</v>
      </c>
      <c r="E13" s="166" t="s">
        <v>454</v>
      </c>
      <c r="F13" s="1"/>
    </row>
    <row r="14" spans="1:6">
      <c r="A14" s="1" t="s">
        <v>261</v>
      </c>
      <c r="B14" s="1" t="s">
        <v>409</v>
      </c>
      <c r="C14" s="1" t="s">
        <v>448</v>
      </c>
      <c r="D14" s="1" t="s">
        <v>396</v>
      </c>
      <c r="E14" s="166" t="s">
        <v>454</v>
      </c>
      <c r="F14" s="1"/>
    </row>
    <row r="15" spans="1:6">
      <c r="A15" s="1" t="s">
        <v>284</v>
      </c>
      <c r="B15" s="1" t="s">
        <v>411</v>
      </c>
      <c r="C15" s="1" t="s">
        <v>452</v>
      </c>
      <c r="D15" s="1" t="s">
        <v>398</v>
      </c>
      <c r="E15" s="166" t="s">
        <v>457</v>
      </c>
      <c r="F15" s="1"/>
    </row>
    <row r="16" spans="1:6">
      <c r="A16" s="1" t="s">
        <v>301</v>
      </c>
      <c r="B16" s="1" t="s">
        <v>412</v>
      </c>
      <c r="C16" s="1" t="s">
        <v>448</v>
      </c>
      <c r="D16" s="1" t="s">
        <v>394</v>
      </c>
      <c r="E16" s="166" t="s">
        <v>454</v>
      </c>
      <c r="F16" s="1"/>
    </row>
    <row r="17" spans="1:6" ht="15.75" customHeight="1">
      <c r="A17" s="1" t="s">
        <v>306</v>
      </c>
      <c r="B17" s="8" t="s">
        <v>413</v>
      </c>
      <c r="C17" s="1" t="s">
        <v>448</v>
      </c>
      <c r="D17" s="1" t="s">
        <v>382</v>
      </c>
      <c r="E17" s="166" t="s">
        <v>449</v>
      </c>
      <c r="F17" s="1"/>
    </row>
    <row r="18" spans="1:6">
      <c r="A18" s="1" t="s">
        <v>310</v>
      </c>
      <c r="B18" s="1" t="s">
        <v>255</v>
      </c>
      <c r="C18" s="1" t="s">
        <v>448</v>
      </c>
      <c r="D18" s="1" t="s">
        <v>414</v>
      </c>
      <c r="E18" s="166" t="s">
        <v>449</v>
      </c>
      <c r="F18" s="1"/>
    </row>
    <row r="19" spans="1:6">
      <c r="A19" s="1" t="s">
        <v>313</v>
      </c>
      <c r="B19" s="1" t="s">
        <v>415</v>
      </c>
      <c r="C19" s="1" t="s">
        <v>448</v>
      </c>
      <c r="D19" s="1" t="s">
        <v>416</v>
      </c>
      <c r="E19" s="166" t="s">
        <v>458</v>
      </c>
      <c r="F19" s="1"/>
    </row>
    <row r="20" spans="1:6">
      <c r="A20" s="1" t="s">
        <v>315</v>
      </c>
      <c r="B20" s="1" t="s">
        <v>417</v>
      </c>
      <c r="C20" s="1" t="s">
        <v>448</v>
      </c>
      <c r="D20" s="1" t="s">
        <v>418</v>
      </c>
      <c r="E20" s="166" t="s">
        <v>450</v>
      </c>
      <c r="F20" s="1"/>
    </row>
    <row r="21" spans="1:6">
      <c r="A21" s="1" t="s">
        <v>333</v>
      </c>
      <c r="B21" s="1" t="s">
        <v>419</v>
      </c>
      <c r="C21" s="1" t="s">
        <v>448</v>
      </c>
      <c r="D21" s="1" t="s">
        <v>418</v>
      </c>
      <c r="E21" s="166" t="s">
        <v>450</v>
      </c>
      <c r="F21" s="1"/>
    </row>
    <row r="22" spans="1:6">
      <c r="A22" s="1" t="s">
        <v>338</v>
      </c>
      <c r="B22" s="1" t="s">
        <v>420</v>
      </c>
      <c r="C22" s="1" t="s">
        <v>448</v>
      </c>
      <c r="D22" s="1" t="s">
        <v>418</v>
      </c>
      <c r="E22" s="166" t="s">
        <v>459</v>
      </c>
      <c r="F22" s="1"/>
    </row>
    <row r="23" spans="1:6">
      <c r="A23" s="1" t="s">
        <v>365</v>
      </c>
      <c r="B23" s="1" t="s">
        <v>421</v>
      </c>
      <c r="C23" s="1" t="s">
        <v>448</v>
      </c>
      <c r="D23" s="1" t="s">
        <v>422</v>
      </c>
      <c r="E23" s="166" t="s">
        <v>460</v>
      </c>
      <c r="F23"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06BC89594062479CE9750BEDF91DF4" ma:contentTypeVersion="14" ma:contentTypeDescription="Create a new document." ma:contentTypeScope="" ma:versionID="84645fb5f996cdbf22ba7474b6c67904">
  <xsd:schema xmlns:xsd="http://www.w3.org/2001/XMLSchema" xmlns:xs="http://www.w3.org/2001/XMLSchema" xmlns:p="http://schemas.microsoft.com/office/2006/metadata/properties" xmlns:ns3="8cc271b9-46d5-4e04-8f96-a98042cba5e1" xmlns:ns4="d4cb5c7d-45a5-4de6-b1b6-339746d38181" targetNamespace="http://schemas.microsoft.com/office/2006/metadata/properties" ma:root="true" ma:fieldsID="092be6252a3ca0588f5b6a581b9f20a0" ns3:_="" ns4:_="">
    <xsd:import namespace="8cc271b9-46d5-4e04-8f96-a98042cba5e1"/>
    <xsd:import namespace="d4cb5c7d-45a5-4de6-b1b6-339746d38181"/>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ServiceDateTaken" minOccurs="0"/>
                <xsd:element ref="ns3:MediaServiceSystemTags"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c271b9-46d5-4e04-8f96-a98042cba5e1"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4cb5c7d-45a5-4de6-b1b6-339746d38181"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cc271b9-46d5-4e04-8f96-a98042cba5e1" xsi:nil="true"/>
  </documentManagement>
</p:properties>
</file>

<file path=customXml/itemProps1.xml><?xml version="1.0" encoding="utf-8"?>
<ds:datastoreItem xmlns:ds="http://schemas.openxmlformats.org/officeDocument/2006/customXml" ds:itemID="{E77A020D-3EAF-4A79-8B57-06C7566523DF}"/>
</file>

<file path=customXml/itemProps2.xml><?xml version="1.0" encoding="utf-8"?>
<ds:datastoreItem xmlns:ds="http://schemas.openxmlformats.org/officeDocument/2006/customXml" ds:itemID="{7A2566A0-6F7E-4D25-9EF6-9B731FC65C13}"/>
</file>

<file path=customXml/itemProps3.xml><?xml version="1.0" encoding="utf-8"?>
<ds:datastoreItem xmlns:ds="http://schemas.openxmlformats.org/officeDocument/2006/customXml" ds:itemID="{15430610-B727-4AD0-9011-D77E685478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Danil gowda</dc:creator>
  <cp:keywords/>
  <dc:description/>
  <cp:lastModifiedBy>Sourav N Gowda</cp:lastModifiedBy>
  <cp:revision/>
  <dcterms:created xsi:type="dcterms:W3CDTF">2024-09-06T04:31:35Z</dcterms:created>
  <dcterms:modified xsi:type="dcterms:W3CDTF">2025-11-03T05:30:36Z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0x010100F206BC89594062479CE9750BEDF91DF4</vt:lpwstr>
  </property>
</Properties>
</file>